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DELL\Downloads\"/>
    </mc:Choice>
  </mc:AlternateContent>
  <xr:revisionPtr revIDLastSave="0" documentId="8_{EA8CE716-CF90-4BA3-8444-C320857FF71F}" xr6:coauthVersionLast="41" xr6:coauthVersionMax="41" xr10:uidLastSave="{00000000-0000-0000-0000-000000000000}"/>
  <bookViews>
    <workbookView xWindow="-108" yWindow="-108" windowWidth="23256" windowHeight="12576" activeTab="3" xr2:uid="{00000000-000D-0000-FFFF-FFFF00000000}"/>
  </bookViews>
  <sheets>
    <sheet name="Data Set" sheetId="1" r:id="rId1"/>
    <sheet name="Analysis" sheetId="14" r:id="rId2"/>
    <sheet name="Table" sheetId="6" state="hidden" r:id="rId3"/>
    <sheet name="DashBoard" sheetId="2" r:id="rId4"/>
  </sheets>
  <definedNames>
    <definedName name="_xlchart.v5.0" hidden="1">Analysis!$AB$4</definedName>
    <definedName name="_xlchart.v5.1" hidden="1">Analysis!$AB$5:$AB$40</definedName>
    <definedName name="_xlchart.v5.2" hidden="1">Analysis!$AC$4</definedName>
    <definedName name="_xlchart.v5.3" hidden="1">Analysis!$AC$5:$AC$40</definedName>
    <definedName name="_xlcn.WorksheetConnection_PopulationofIndia.csvTable1" hidden="1">Table1[]</definedName>
    <definedName name="_xlcn.WorksheetConnection_PopulationofIndia.csvTable3" hidden="1">Table3[]</definedName>
    <definedName name="Slicer_Region">#N/A</definedName>
  </definedNames>
  <calcPr calcId="191029"/>
  <pivotCaches>
    <pivotCache cacheId="0" r:id="rId5"/>
    <pivotCache cacheId="28" r:id="rId6"/>
    <pivotCache cacheId="31" r:id="rId7"/>
    <pivotCache cacheId="34" r:id="rId8"/>
    <pivotCache cacheId="37" r:id="rId9"/>
    <pivotCache cacheId="40" r:id="rId10"/>
    <pivotCache cacheId="43" r:id="rId11"/>
  </pivotCaches>
  <fileRecoveryPr repairLoad="1"/>
  <extLst>
    <ext xmlns:x14="http://schemas.microsoft.com/office/spreadsheetml/2009/9/main" uri="{876F7934-8845-4945-9796-88D515C7AA90}">
      <x14:pivotCaches>
        <pivotCache cacheId="7" r:id="rId12"/>
      </x14:pivotCaches>
    </ex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3" name="Table3" connection="WorksheetConnection_Population of India.csv!Table3"/>
          <x15:modelTable id="Table1" name="Table1" connection="WorksheetConnection_Population of India.csv!Table1"/>
        </x15:modelTables>
      </x15:dataModel>
    </ext>
  </extLst>
</workbook>
</file>

<file path=xl/calcChain.xml><?xml version="1.0" encoding="utf-8"?>
<calcChain xmlns="http://schemas.openxmlformats.org/spreadsheetml/2006/main">
  <c r="W5" i="14" l="1"/>
  <c r="D96" i="14" l="1"/>
  <c r="L70" i="14" s="1"/>
  <c r="D88" i="14"/>
  <c r="L68" i="14" s="1"/>
  <c r="D82" i="14"/>
  <c r="L66" i="14" s="1"/>
  <c r="D75" i="14"/>
  <c r="L64" i="14" s="1"/>
  <c r="D62" i="14"/>
  <c r="H109" i="14" s="1"/>
  <c r="E108" i="14"/>
  <c r="D108" i="14"/>
  <c r="E96" i="14"/>
  <c r="F96" i="14"/>
  <c r="G96" i="14"/>
  <c r="E97" i="14"/>
  <c r="F97" i="14"/>
  <c r="G97" i="14"/>
  <c r="E98" i="14"/>
  <c r="F98" i="14"/>
  <c r="G98" i="14"/>
  <c r="E99" i="14"/>
  <c r="F99" i="14"/>
  <c r="G99" i="14"/>
  <c r="E100" i="14"/>
  <c r="F100" i="14"/>
  <c r="G100" i="14"/>
  <c r="E101" i="14"/>
  <c r="F101" i="14"/>
  <c r="G101" i="14"/>
  <c r="E63" i="14"/>
  <c r="E110" i="14" s="1"/>
  <c r="F63" i="14"/>
  <c r="G63" i="14"/>
  <c r="E64" i="14"/>
  <c r="E111" i="14" s="1"/>
  <c r="F64" i="14"/>
  <c r="G64" i="14"/>
  <c r="E65" i="14"/>
  <c r="E112" i="14" s="1"/>
  <c r="F65" i="14"/>
  <c r="G65" i="14"/>
  <c r="E66" i="14"/>
  <c r="E113" i="14" s="1"/>
  <c r="F66" i="14"/>
  <c r="G66" i="14"/>
  <c r="E67" i="14"/>
  <c r="F67" i="14"/>
  <c r="G67" i="14"/>
  <c r="E68" i="14"/>
  <c r="F68" i="14"/>
  <c r="G68" i="14"/>
  <c r="E69" i="14"/>
  <c r="F69" i="14"/>
  <c r="G69" i="14"/>
  <c r="E70" i="14"/>
  <c r="F70" i="14"/>
  <c r="G70" i="14"/>
  <c r="E71" i="14"/>
  <c r="F71" i="14"/>
  <c r="G71" i="14"/>
  <c r="E72" i="14"/>
  <c r="F72" i="14"/>
  <c r="G72" i="14"/>
  <c r="E73" i="14"/>
  <c r="F73" i="14"/>
  <c r="G73" i="14"/>
  <c r="E75" i="14"/>
  <c r="F75" i="14"/>
  <c r="G75" i="14"/>
  <c r="E76" i="14"/>
  <c r="F76" i="14"/>
  <c r="G76" i="14"/>
  <c r="E77" i="14"/>
  <c r="F77" i="14"/>
  <c r="G77" i="14"/>
  <c r="E78" i="14"/>
  <c r="F78" i="14"/>
  <c r="G78" i="14"/>
  <c r="E79" i="14"/>
  <c r="F79" i="14"/>
  <c r="G79" i="14"/>
  <c r="E80" i="14"/>
  <c r="F80" i="14"/>
  <c r="G80" i="14"/>
  <c r="E82" i="14"/>
  <c r="F82" i="14"/>
  <c r="G82" i="14"/>
  <c r="E83" i="14"/>
  <c r="F83" i="14"/>
  <c r="G83" i="14"/>
  <c r="E84" i="14"/>
  <c r="F84" i="14"/>
  <c r="G84" i="14"/>
  <c r="E85" i="14"/>
  <c r="F85" i="14"/>
  <c r="G85" i="14"/>
  <c r="E86" i="14"/>
  <c r="F86" i="14"/>
  <c r="G86" i="14"/>
  <c r="E88" i="14"/>
  <c r="F88" i="14"/>
  <c r="G88" i="14"/>
  <c r="E89" i="14"/>
  <c r="F89" i="14"/>
  <c r="G89" i="14"/>
  <c r="E90" i="14"/>
  <c r="F90" i="14"/>
  <c r="G90" i="14"/>
  <c r="E91" i="14"/>
  <c r="F91" i="14"/>
  <c r="G91" i="14"/>
  <c r="E92" i="14"/>
  <c r="F92" i="14"/>
  <c r="G92" i="14"/>
  <c r="E93" i="14"/>
  <c r="F93" i="14"/>
  <c r="G93" i="14"/>
  <c r="E94" i="14"/>
  <c r="F94" i="14"/>
  <c r="G94" i="14"/>
  <c r="F62" i="14"/>
  <c r="G62" i="14"/>
  <c r="E62" i="14"/>
  <c r="E109" i="14" s="1"/>
  <c r="AI51" i="14"/>
  <c r="AG39" i="14"/>
  <c r="AG31" i="14"/>
  <c r="AG25" i="14"/>
  <c r="AG18" i="14"/>
  <c r="AH6" i="14"/>
  <c r="AH53" i="14" s="1"/>
  <c r="AI6" i="14"/>
  <c r="AI53" i="14" s="1"/>
  <c r="AH7" i="14"/>
  <c r="AH54" i="14" s="1"/>
  <c r="AI7" i="14"/>
  <c r="AI54" i="14" s="1"/>
  <c r="AH8" i="14"/>
  <c r="AH55" i="14" s="1"/>
  <c r="AI8" i="14"/>
  <c r="AI55" i="14" s="1"/>
  <c r="AH9" i="14"/>
  <c r="AH56" i="14" s="1"/>
  <c r="AI9" i="14"/>
  <c r="AI56" i="14" s="1"/>
  <c r="AH10" i="14"/>
  <c r="AI10" i="14"/>
  <c r="AH11" i="14"/>
  <c r="AI11" i="14"/>
  <c r="AH12" i="14"/>
  <c r="AI12" i="14"/>
  <c r="AH13" i="14"/>
  <c r="AI13" i="14"/>
  <c r="AH14" i="14"/>
  <c r="AI14" i="14"/>
  <c r="AH15" i="14"/>
  <c r="AI15" i="14"/>
  <c r="AH16" i="14"/>
  <c r="AI16" i="14"/>
  <c r="AH18" i="14"/>
  <c r="AI18" i="14"/>
  <c r="AH19" i="14"/>
  <c r="AI19" i="14"/>
  <c r="AH20" i="14"/>
  <c r="AI20" i="14"/>
  <c r="AH21" i="14"/>
  <c r="AI21" i="14"/>
  <c r="AH22" i="14"/>
  <c r="AI22" i="14"/>
  <c r="AH23" i="14"/>
  <c r="AI23" i="14"/>
  <c r="AH25" i="14"/>
  <c r="AI25" i="14"/>
  <c r="AH26" i="14"/>
  <c r="AI26" i="14"/>
  <c r="AH27" i="14"/>
  <c r="AI27" i="14"/>
  <c r="AH28" i="14"/>
  <c r="AI28" i="14"/>
  <c r="AH29" i="14"/>
  <c r="AI29" i="14"/>
  <c r="AH31" i="14"/>
  <c r="AI31" i="14"/>
  <c r="AH32" i="14"/>
  <c r="AI32" i="14"/>
  <c r="AH33" i="14"/>
  <c r="AI33" i="14"/>
  <c r="AH34" i="14"/>
  <c r="AI34" i="14"/>
  <c r="AH35" i="14"/>
  <c r="AI35" i="14"/>
  <c r="AH36" i="14"/>
  <c r="AI36" i="14"/>
  <c r="AH37" i="14"/>
  <c r="AI37" i="14"/>
  <c r="AH39" i="14"/>
  <c r="AI39" i="14"/>
  <c r="AH40" i="14"/>
  <c r="AI40" i="14"/>
  <c r="AH41" i="14"/>
  <c r="AI41" i="14"/>
  <c r="AH42" i="14"/>
  <c r="AI42" i="14"/>
  <c r="AH43" i="14"/>
  <c r="AI43" i="14"/>
  <c r="AH44" i="14"/>
  <c r="AI44" i="14"/>
  <c r="AI5" i="14"/>
  <c r="AI52" i="14" s="1"/>
  <c r="AH5" i="14"/>
  <c r="AH52" i="14" s="1"/>
  <c r="AG5" i="14"/>
  <c r="AG52" i="14" s="1"/>
  <c r="J39" i="14"/>
  <c r="J31" i="14"/>
  <c r="J25" i="14"/>
  <c r="J18" i="14"/>
  <c r="K6" i="14"/>
  <c r="K52" i="14" s="1"/>
  <c r="L6" i="14"/>
  <c r="L52" i="14" s="1"/>
  <c r="K7" i="14"/>
  <c r="K53" i="14" s="1"/>
  <c r="L7" i="14"/>
  <c r="L53" i="14" s="1"/>
  <c r="K8" i="14"/>
  <c r="K54" i="14" s="1"/>
  <c r="L8" i="14"/>
  <c r="L54" i="14" s="1"/>
  <c r="K9" i="14"/>
  <c r="K55" i="14" s="1"/>
  <c r="L9" i="14"/>
  <c r="L55" i="14" s="1"/>
  <c r="K10" i="14"/>
  <c r="L10" i="14"/>
  <c r="K11" i="14"/>
  <c r="L11" i="14"/>
  <c r="K12" i="14"/>
  <c r="L12" i="14"/>
  <c r="K13" i="14"/>
  <c r="L13" i="14"/>
  <c r="K14" i="14"/>
  <c r="L14" i="14"/>
  <c r="K15" i="14"/>
  <c r="L15" i="14"/>
  <c r="K16" i="14"/>
  <c r="L16" i="14"/>
  <c r="K18" i="14"/>
  <c r="L18" i="14"/>
  <c r="K19" i="14"/>
  <c r="L19" i="14"/>
  <c r="K20" i="14"/>
  <c r="L20" i="14"/>
  <c r="K21" i="14"/>
  <c r="L21" i="14"/>
  <c r="K22" i="14"/>
  <c r="L22" i="14"/>
  <c r="K23" i="14"/>
  <c r="L23" i="14"/>
  <c r="K25" i="14"/>
  <c r="L25" i="14"/>
  <c r="K26" i="14"/>
  <c r="L26" i="14"/>
  <c r="K27" i="14"/>
  <c r="L27" i="14"/>
  <c r="K28" i="14"/>
  <c r="L28" i="14"/>
  <c r="K29" i="14"/>
  <c r="L29" i="14"/>
  <c r="K31" i="14"/>
  <c r="L31" i="14"/>
  <c r="K32" i="14"/>
  <c r="L32" i="14"/>
  <c r="K33" i="14"/>
  <c r="L33" i="14"/>
  <c r="K34" i="14"/>
  <c r="L34" i="14"/>
  <c r="K35" i="14"/>
  <c r="L35" i="14"/>
  <c r="K36" i="14"/>
  <c r="L36" i="14"/>
  <c r="K37" i="14"/>
  <c r="L37" i="14"/>
  <c r="L38" i="14"/>
  <c r="K39" i="14"/>
  <c r="L39" i="14"/>
  <c r="K40" i="14"/>
  <c r="L40" i="14"/>
  <c r="K41" i="14"/>
  <c r="L41" i="14"/>
  <c r="K42" i="14"/>
  <c r="L42" i="14"/>
  <c r="K43" i="14"/>
  <c r="L43" i="14"/>
  <c r="K44" i="14"/>
  <c r="L44" i="14"/>
  <c r="L5" i="14"/>
  <c r="L51" i="14" s="1"/>
  <c r="K5" i="14"/>
  <c r="K51" i="14" s="1"/>
  <c r="J5" i="14"/>
  <c r="J51" i="14" s="1"/>
  <c r="AB6" i="14"/>
  <c r="AC6" i="14"/>
  <c r="AB7" i="14"/>
  <c r="AC7" i="14"/>
  <c r="AB8" i="14"/>
  <c r="AC8" i="14"/>
  <c r="AB9" i="14"/>
  <c r="AC9" i="14"/>
  <c r="AB10" i="14"/>
  <c r="AC10" i="14"/>
  <c r="AB11" i="14"/>
  <c r="AC11" i="14"/>
  <c r="AB12" i="14"/>
  <c r="AC12" i="14"/>
  <c r="AB13" i="14"/>
  <c r="AC13" i="14"/>
  <c r="AB14" i="14"/>
  <c r="AC14" i="14"/>
  <c r="AB15" i="14"/>
  <c r="AC15" i="14"/>
  <c r="AB16" i="14"/>
  <c r="AC16" i="14"/>
  <c r="AB17" i="14"/>
  <c r="AC17" i="14"/>
  <c r="AB18" i="14"/>
  <c r="AC18" i="14"/>
  <c r="AB19" i="14"/>
  <c r="AC19" i="14"/>
  <c r="AB20" i="14"/>
  <c r="AC20" i="14"/>
  <c r="AB21" i="14"/>
  <c r="AC21" i="14"/>
  <c r="AB22" i="14"/>
  <c r="AC22" i="14"/>
  <c r="AB23" i="14"/>
  <c r="AC23" i="14"/>
  <c r="AB24" i="14"/>
  <c r="AC24" i="14"/>
  <c r="AB25" i="14"/>
  <c r="AC25" i="14"/>
  <c r="AB26" i="14"/>
  <c r="AC26" i="14"/>
  <c r="AB27" i="14"/>
  <c r="AC27" i="14"/>
  <c r="AB28" i="14"/>
  <c r="AC28" i="14"/>
  <c r="AB29" i="14"/>
  <c r="AC29" i="14"/>
  <c r="AB30" i="14"/>
  <c r="AC30" i="14"/>
  <c r="AB31" i="14"/>
  <c r="AC31" i="14"/>
  <c r="AB32" i="14"/>
  <c r="AC32" i="14"/>
  <c r="AB33" i="14"/>
  <c r="AC33" i="14"/>
  <c r="AB34" i="14"/>
  <c r="AC34" i="14"/>
  <c r="AB35" i="14"/>
  <c r="AC35" i="14"/>
  <c r="AB36" i="14"/>
  <c r="AC36" i="14"/>
  <c r="AB37" i="14"/>
  <c r="AC37" i="14"/>
  <c r="AB38" i="14"/>
  <c r="AC38" i="14"/>
  <c r="AB39" i="14"/>
  <c r="AC39" i="14"/>
  <c r="AB40" i="14"/>
  <c r="AC40" i="14"/>
  <c r="AC5" i="14"/>
  <c r="AB5" i="14"/>
  <c r="U25" i="14"/>
  <c r="V25" i="14"/>
  <c r="W25" i="14"/>
  <c r="U26" i="14"/>
  <c r="V26" i="14"/>
  <c r="W26" i="14"/>
  <c r="U27" i="14"/>
  <c r="V27" i="14"/>
  <c r="W27" i="14"/>
  <c r="U28" i="14"/>
  <c r="V28" i="14"/>
  <c r="W28" i="14"/>
  <c r="U29" i="14"/>
  <c r="V29" i="14"/>
  <c r="W29" i="14"/>
  <c r="U30" i="14"/>
  <c r="U31" i="14"/>
  <c r="V31" i="14"/>
  <c r="W31" i="14"/>
  <c r="U32" i="14"/>
  <c r="V32" i="14"/>
  <c r="W32" i="14"/>
  <c r="U33" i="14"/>
  <c r="V33" i="14"/>
  <c r="W33" i="14"/>
  <c r="U34" i="14"/>
  <c r="V34" i="14"/>
  <c r="W34" i="14"/>
  <c r="U35" i="14"/>
  <c r="V35" i="14"/>
  <c r="W35" i="14"/>
  <c r="U36" i="14"/>
  <c r="V36" i="14"/>
  <c r="W36" i="14"/>
  <c r="U37" i="14"/>
  <c r="V37" i="14"/>
  <c r="W37" i="14"/>
  <c r="U38" i="14"/>
  <c r="U39" i="14"/>
  <c r="V39" i="14"/>
  <c r="W39" i="14"/>
  <c r="U40" i="14"/>
  <c r="V40" i="14"/>
  <c r="W40" i="14"/>
  <c r="U41" i="14"/>
  <c r="V41" i="14"/>
  <c r="W41" i="14"/>
  <c r="U42" i="14"/>
  <c r="V42" i="14"/>
  <c r="W42" i="14"/>
  <c r="U43" i="14"/>
  <c r="V43" i="14"/>
  <c r="W43" i="14"/>
  <c r="U44" i="14"/>
  <c r="V44" i="14"/>
  <c r="W44" i="14"/>
  <c r="U19" i="14"/>
  <c r="V19" i="14"/>
  <c r="W19" i="14"/>
  <c r="U20" i="14"/>
  <c r="V20" i="14"/>
  <c r="W20" i="14"/>
  <c r="U21" i="14"/>
  <c r="V21" i="14"/>
  <c r="W21" i="14"/>
  <c r="U22" i="14"/>
  <c r="V22" i="14"/>
  <c r="W22" i="14"/>
  <c r="U23" i="14"/>
  <c r="V23" i="14"/>
  <c r="W23" i="14"/>
  <c r="U24" i="14"/>
  <c r="V18" i="14"/>
  <c r="W18" i="14"/>
  <c r="U18" i="14"/>
  <c r="T39" i="14"/>
  <c r="T31" i="14"/>
  <c r="T25" i="14"/>
  <c r="T18" i="14"/>
  <c r="U6" i="14"/>
  <c r="U52" i="14" s="1"/>
  <c r="V6" i="14"/>
  <c r="V52" i="14" s="1"/>
  <c r="W6" i="14"/>
  <c r="W52" i="14" s="1"/>
  <c r="U7" i="14"/>
  <c r="U53" i="14" s="1"/>
  <c r="V7" i="14"/>
  <c r="V53" i="14" s="1"/>
  <c r="W7" i="14"/>
  <c r="W53" i="14" s="1"/>
  <c r="U8" i="14"/>
  <c r="U54" i="14" s="1"/>
  <c r="V8" i="14"/>
  <c r="V54" i="14" s="1"/>
  <c r="W8" i="14"/>
  <c r="W54" i="14" s="1"/>
  <c r="U9" i="14"/>
  <c r="U55" i="14" s="1"/>
  <c r="V9" i="14"/>
  <c r="V55" i="14" s="1"/>
  <c r="W9" i="14"/>
  <c r="W55" i="14" s="1"/>
  <c r="U10" i="14"/>
  <c r="V10" i="14"/>
  <c r="W10" i="14"/>
  <c r="U11" i="14"/>
  <c r="V11" i="14"/>
  <c r="W11" i="14"/>
  <c r="U12" i="14"/>
  <c r="V12" i="14"/>
  <c r="W12" i="14"/>
  <c r="U13" i="14"/>
  <c r="V13" i="14"/>
  <c r="W13" i="14"/>
  <c r="U14" i="14"/>
  <c r="V14" i="14"/>
  <c r="W14" i="14"/>
  <c r="U15" i="14"/>
  <c r="V15" i="14"/>
  <c r="W15" i="14"/>
  <c r="U16" i="14"/>
  <c r="V16" i="14"/>
  <c r="W16" i="14"/>
  <c r="U17" i="14"/>
  <c r="V5" i="14"/>
  <c r="V51" i="14" s="1"/>
  <c r="U5" i="14"/>
  <c r="U51" i="14" s="1"/>
  <c r="T5" i="14"/>
  <c r="T51" i="14" s="1"/>
  <c r="D5" i="14"/>
  <c r="D52" i="14" s="1"/>
  <c r="D39" i="14"/>
  <c r="D31" i="14"/>
  <c r="D25" i="14"/>
  <c r="D18" i="14"/>
  <c r="F45" i="14"/>
  <c r="E7" i="14"/>
  <c r="E53" i="14" s="1"/>
  <c r="E8" i="14"/>
  <c r="E54" i="14" s="1"/>
  <c r="E9" i="14"/>
  <c r="E55" i="14" s="1"/>
  <c r="E10" i="14"/>
  <c r="E56" i="14" s="1"/>
  <c r="E11" i="14"/>
  <c r="E12" i="14"/>
  <c r="E13" i="14"/>
  <c r="E14" i="14"/>
  <c r="E15" i="14"/>
  <c r="E16" i="14"/>
  <c r="E17" i="14"/>
  <c r="E19" i="14"/>
  <c r="E20" i="14"/>
  <c r="E21" i="14"/>
  <c r="E22" i="14"/>
  <c r="E23" i="14"/>
  <c r="E24" i="14"/>
  <c r="E26" i="14"/>
  <c r="E27" i="14"/>
  <c r="E28" i="14"/>
  <c r="E29" i="14"/>
  <c r="E30" i="14"/>
  <c r="E32" i="14"/>
  <c r="E33" i="14"/>
  <c r="E34" i="14"/>
  <c r="E35" i="14"/>
  <c r="E36" i="14"/>
  <c r="E37" i="14"/>
  <c r="E38" i="14"/>
  <c r="E40" i="14"/>
  <c r="E41" i="14"/>
  <c r="E42" i="14"/>
  <c r="E43" i="14"/>
  <c r="E44" i="14"/>
  <c r="E45" i="14"/>
  <c r="F17" i="14"/>
  <c r="F19" i="14"/>
  <c r="F20" i="14"/>
  <c r="F21" i="14"/>
  <c r="F22" i="14"/>
  <c r="F23" i="14"/>
  <c r="F24" i="14"/>
  <c r="F26" i="14"/>
  <c r="F27" i="14"/>
  <c r="F28" i="14"/>
  <c r="F29" i="14"/>
  <c r="F30" i="14"/>
  <c r="F32" i="14"/>
  <c r="F33" i="14"/>
  <c r="F34" i="14"/>
  <c r="F35" i="14"/>
  <c r="F36" i="14"/>
  <c r="F37" i="14"/>
  <c r="F38" i="14"/>
  <c r="F40" i="14"/>
  <c r="F41" i="14"/>
  <c r="F42" i="14"/>
  <c r="F43" i="14"/>
  <c r="F44" i="14"/>
  <c r="F6" i="14"/>
  <c r="F52" i="14" s="1"/>
  <c r="F7" i="14"/>
  <c r="F53" i="14" s="1"/>
  <c r="F8" i="14"/>
  <c r="F54" i="14" s="1"/>
  <c r="F9" i="14"/>
  <c r="F55" i="14" s="1"/>
  <c r="F10" i="14"/>
  <c r="F56" i="14" s="1"/>
  <c r="F11" i="14"/>
  <c r="F12" i="14"/>
  <c r="F13" i="14"/>
  <c r="F14" i="14"/>
  <c r="F15" i="14"/>
  <c r="F16" i="14"/>
  <c r="E6" i="14"/>
  <c r="E52" i="14"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AI57" i="14" l="1"/>
  <c r="F57" i="14"/>
  <c r="V56" i="14"/>
  <c r="M65" i="14"/>
  <c r="H80" i="14" s="1"/>
  <c r="D109" i="14"/>
  <c r="I111" i="14"/>
  <c r="I109" i="14"/>
  <c r="I110" i="14"/>
  <c r="N71" i="14"/>
  <c r="I100" i="14" s="1"/>
  <c r="I113" i="14"/>
  <c r="M69" i="14"/>
  <c r="H90" i="14" s="1"/>
  <c r="M71" i="14"/>
  <c r="H96" i="14" s="1"/>
  <c r="I112" i="14"/>
  <c r="N69" i="14"/>
  <c r="I92" i="14" s="1"/>
  <c r="N67" i="14"/>
  <c r="I84" i="14" s="1"/>
  <c r="M67" i="14"/>
  <c r="N65" i="14"/>
  <c r="I79" i="14" s="1"/>
  <c r="N63" i="14"/>
  <c r="I65" i="14" s="1"/>
  <c r="J112" i="14" s="1"/>
  <c r="M63" i="14"/>
  <c r="AO5" i="6"/>
  <c r="U46" i="6" s="1"/>
  <c r="AP5" i="6"/>
  <c r="AO6" i="6"/>
  <c r="U47" i="6" s="1"/>
  <c r="AP6" i="6"/>
  <c r="V47" i="6" s="1"/>
  <c r="AO7" i="6"/>
  <c r="U48" i="6" s="1"/>
  <c r="AP7" i="6"/>
  <c r="AO8" i="6"/>
  <c r="U49" i="6" s="1"/>
  <c r="AP8" i="6"/>
  <c r="V49" i="6" s="1"/>
  <c r="AO9" i="6"/>
  <c r="AP9" i="6"/>
  <c r="AO10" i="6"/>
  <c r="AP10" i="6"/>
  <c r="AO11" i="6"/>
  <c r="AP11" i="6"/>
  <c r="AO12" i="6"/>
  <c r="AP12" i="6"/>
  <c r="AO13" i="6"/>
  <c r="AP13" i="6"/>
  <c r="AO14" i="6"/>
  <c r="AP14" i="6"/>
  <c r="AO15" i="6"/>
  <c r="AP15" i="6"/>
  <c r="AO16" i="6"/>
  <c r="AP16" i="6"/>
  <c r="AO17" i="6"/>
  <c r="AP17" i="6"/>
  <c r="AO18" i="6"/>
  <c r="AP18" i="6"/>
  <c r="AO19" i="6"/>
  <c r="AP19" i="6"/>
  <c r="AO20" i="6"/>
  <c r="AP20" i="6"/>
  <c r="AO21" i="6"/>
  <c r="AP21" i="6"/>
  <c r="AO22" i="6"/>
  <c r="AP22" i="6"/>
  <c r="AO23" i="6"/>
  <c r="AP23" i="6"/>
  <c r="AO24" i="6"/>
  <c r="AP24" i="6"/>
  <c r="AO25" i="6"/>
  <c r="AP25" i="6"/>
  <c r="AO26" i="6"/>
  <c r="AP26" i="6"/>
  <c r="AO27" i="6"/>
  <c r="AP27" i="6"/>
  <c r="AO28" i="6"/>
  <c r="AP28" i="6"/>
  <c r="AO29" i="6"/>
  <c r="AP29" i="6"/>
  <c r="AO30" i="6"/>
  <c r="AP30" i="6"/>
  <c r="AO31" i="6"/>
  <c r="AP31" i="6"/>
  <c r="AO32" i="6"/>
  <c r="AP32" i="6"/>
  <c r="AO33" i="6"/>
  <c r="AP33" i="6"/>
  <c r="AO34" i="6"/>
  <c r="AP34" i="6"/>
  <c r="AO35" i="6"/>
  <c r="AP35" i="6"/>
  <c r="AO36" i="6"/>
  <c r="AP36" i="6"/>
  <c r="AO37" i="6"/>
  <c r="AP37" i="6"/>
  <c r="AO38" i="6"/>
  <c r="AP38" i="6"/>
  <c r="AO39" i="6"/>
  <c r="AP39" i="6"/>
  <c r="AP4" i="6"/>
  <c r="V45" i="6" s="1"/>
  <c r="AO4" i="6"/>
  <c r="U45" i="6" s="1"/>
  <c r="AI5" i="6"/>
  <c r="Q46" i="6" s="1"/>
  <c r="AJ5" i="6"/>
  <c r="R46" i="6" s="1"/>
  <c r="AI6" i="6"/>
  <c r="Q47" i="6" s="1"/>
  <c r="AJ6" i="6"/>
  <c r="AI7" i="6"/>
  <c r="Q48" i="6" s="1"/>
  <c r="AJ7" i="6"/>
  <c r="R48" i="6" s="1"/>
  <c r="AI8" i="6"/>
  <c r="Q49" i="6" s="1"/>
  <c r="AJ8" i="6"/>
  <c r="R49" i="6" s="1"/>
  <c r="AI9" i="6"/>
  <c r="AJ9" i="6"/>
  <c r="AI10" i="6"/>
  <c r="AJ10" i="6"/>
  <c r="AI11" i="6"/>
  <c r="AJ11" i="6"/>
  <c r="AI12" i="6"/>
  <c r="AJ12" i="6"/>
  <c r="AI13" i="6"/>
  <c r="AJ13" i="6"/>
  <c r="AI14" i="6"/>
  <c r="AJ14" i="6"/>
  <c r="AI15" i="6"/>
  <c r="AJ15" i="6"/>
  <c r="AI16" i="6"/>
  <c r="AJ16" i="6"/>
  <c r="AI17" i="6"/>
  <c r="AJ17" i="6"/>
  <c r="AI18" i="6"/>
  <c r="AJ18" i="6"/>
  <c r="AI19" i="6"/>
  <c r="AJ19" i="6"/>
  <c r="AI20" i="6"/>
  <c r="AJ20" i="6"/>
  <c r="AI21" i="6"/>
  <c r="AJ21" i="6"/>
  <c r="AI22" i="6"/>
  <c r="AJ22" i="6"/>
  <c r="AI23" i="6"/>
  <c r="AJ23" i="6"/>
  <c r="AI24" i="6"/>
  <c r="AJ24" i="6"/>
  <c r="AI25" i="6"/>
  <c r="AJ25" i="6"/>
  <c r="AI26" i="6"/>
  <c r="AJ26" i="6"/>
  <c r="AI27" i="6"/>
  <c r="AJ27" i="6"/>
  <c r="AI28" i="6"/>
  <c r="AJ28" i="6"/>
  <c r="AI29" i="6"/>
  <c r="AJ29" i="6"/>
  <c r="AI30" i="6"/>
  <c r="AJ30" i="6"/>
  <c r="AI31" i="6"/>
  <c r="AJ31" i="6"/>
  <c r="AI32" i="6"/>
  <c r="AJ32" i="6"/>
  <c r="AI33" i="6"/>
  <c r="AJ33" i="6"/>
  <c r="AI34" i="6"/>
  <c r="AJ34" i="6"/>
  <c r="AI35" i="6"/>
  <c r="AJ35" i="6"/>
  <c r="AI36" i="6"/>
  <c r="AJ36" i="6"/>
  <c r="AI37" i="6"/>
  <c r="AJ37" i="6"/>
  <c r="AI38" i="6"/>
  <c r="AJ38" i="6"/>
  <c r="AI39" i="6"/>
  <c r="AJ39" i="6"/>
  <c r="AJ4" i="6"/>
  <c r="R45" i="6" s="1"/>
  <c r="AI4" i="6"/>
  <c r="Q45" i="6" s="1"/>
  <c r="AD5" i="6"/>
  <c r="AE5" i="6"/>
  <c r="AD6" i="6"/>
  <c r="AE6" i="6"/>
  <c r="AD7" i="6"/>
  <c r="AE7" i="6"/>
  <c r="AD8" i="6"/>
  <c r="AE8" i="6"/>
  <c r="AD9" i="6"/>
  <c r="AE9" i="6"/>
  <c r="AD10" i="6"/>
  <c r="AE10" i="6"/>
  <c r="AD11" i="6"/>
  <c r="AE11" i="6"/>
  <c r="AD12" i="6"/>
  <c r="AE12" i="6"/>
  <c r="AD13" i="6"/>
  <c r="AE13" i="6"/>
  <c r="AD14" i="6"/>
  <c r="AE14" i="6"/>
  <c r="AD15" i="6"/>
  <c r="AE15" i="6"/>
  <c r="AD16" i="6"/>
  <c r="AE16" i="6"/>
  <c r="AD17" i="6"/>
  <c r="AE17" i="6"/>
  <c r="AD18" i="6"/>
  <c r="AE18" i="6"/>
  <c r="AD19" i="6"/>
  <c r="AE19" i="6"/>
  <c r="AD20" i="6"/>
  <c r="AE20" i="6"/>
  <c r="AD21" i="6"/>
  <c r="AE21" i="6"/>
  <c r="AD22" i="6"/>
  <c r="AE22" i="6"/>
  <c r="AD23" i="6"/>
  <c r="AE23" i="6"/>
  <c r="AD24" i="6"/>
  <c r="AE24" i="6"/>
  <c r="AD25" i="6"/>
  <c r="AE25" i="6"/>
  <c r="AD26" i="6"/>
  <c r="AE26" i="6"/>
  <c r="AD27" i="6"/>
  <c r="AE27" i="6"/>
  <c r="AD28" i="6"/>
  <c r="AE28" i="6"/>
  <c r="AD29" i="6"/>
  <c r="AE29" i="6"/>
  <c r="AD30" i="6"/>
  <c r="AE30" i="6"/>
  <c r="AD31" i="6"/>
  <c r="AE31" i="6"/>
  <c r="AD32" i="6"/>
  <c r="AE32" i="6"/>
  <c r="AD33" i="6"/>
  <c r="AE33" i="6"/>
  <c r="AD34" i="6"/>
  <c r="AE34" i="6"/>
  <c r="AD35" i="6"/>
  <c r="AE35" i="6"/>
  <c r="AD36" i="6"/>
  <c r="AE36" i="6"/>
  <c r="AD37" i="6"/>
  <c r="AE37" i="6"/>
  <c r="AD38" i="6"/>
  <c r="AE38" i="6"/>
  <c r="AD39" i="6"/>
  <c r="AE39" i="6"/>
  <c r="AE4" i="6"/>
  <c r="AD4" i="6"/>
  <c r="X5" i="6"/>
  <c r="L46" i="6" s="1"/>
  <c r="Y5" i="6"/>
  <c r="M46" i="6" s="1"/>
  <c r="X6" i="6"/>
  <c r="L47" i="6" s="1"/>
  <c r="Y6" i="6"/>
  <c r="M47" i="6" s="1"/>
  <c r="X7" i="6"/>
  <c r="L48" i="6" s="1"/>
  <c r="Y7" i="6"/>
  <c r="M48" i="6" s="1"/>
  <c r="X8" i="6"/>
  <c r="L49" i="6" s="1"/>
  <c r="Y8" i="6"/>
  <c r="M49" i="6" s="1"/>
  <c r="X9" i="6"/>
  <c r="Y9" i="6"/>
  <c r="X10" i="6"/>
  <c r="Y10" i="6"/>
  <c r="X11" i="6"/>
  <c r="Y11" i="6"/>
  <c r="X12" i="6"/>
  <c r="Y12" i="6"/>
  <c r="X13" i="6"/>
  <c r="Y13" i="6"/>
  <c r="X14" i="6"/>
  <c r="Y14" i="6"/>
  <c r="X15" i="6"/>
  <c r="Y15" i="6"/>
  <c r="X16" i="6"/>
  <c r="Y16" i="6"/>
  <c r="X17" i="6"/>
  <c r="Y17" i="6"/>
  <c r="X18" i="6"/>
  <c r="Y18" i="6"/>
  <c r="X19" i="6"/>
  <c r="Y19" i="6"/>
  <c r="X20" i="6"/>
  <c r="Y20" i="6"/>
  <c r="X21" i="6"/>
  <c r="Y21" i="6"/>
  <c r="X22" i="6"/>
  <c r="Y22" i="6"/>
  <c r="X23" i="6"/>
  <c r="Y23" i="6"/>
  <c r="X24" i="6"/>
  <c r="Y24" i="6"/>
  <c r="X25" i="6"/>
  <c r="Y25" i="6"/>
  <c r="X26" i="6"/>
  <c r="Y26" i="6"/>
  <c r="X27" i="6"/>
  <c r="Y27" i="6"/>
  <c r="X28" i="6"/>
  <c r="Y28" i="6"/>
  <c r="X29" i="6"/>
  <c r="Y29" i="6"/>
  <c r="X30" i="6"/>
  <c r="Y30" i="6"/>
  <c r="X31" i="6"/>
  <c r="Y31" i="6"/>
  <c r="X32" i="6"/>
  <c r="Y32" i="6"/>
  <c r="X33" i="6"/>
  <c r="Y33" i="6"/>
  <c r="X34" i="6"/>
  <c r="Y34" i="6"/>
  <c r="X35" i="6"/>
  <c r="Y35" i="6"/>
  <c r="X36" i="6"/>
  <c r="Y36" i="6"/>
  <c r="X37" i="6"/>
  <c r="Y37" i="6"/>
  <c r="X38" i="6"/>
  <c r="Y38" i="6"/>
  <c r="X39" i="6"/>
  <c r="Y39" i="6"/>
  <c r="Y4" i="6"/>
  <c r="M45" i="6" s="1"/>
  <c r="X4" i="6"/>
  <c r="L45" i="6" s="1"/>
  <c r="J44" i="6"/>
  <c r="S5" i="6"/>
  <c r="I46" i="6" s="1"/>
  <c r="T5" i="6"/>
  <c r="J46" i="6" s="1"/>
  <c r="S6" i="6"/>
  <c r="I47" i="6" s="1"/>
  <c r="T6" i="6"/>
  <c r="J47" i="6" s="1"/>
  <c r="S7" i="6"/>
  <c r="I48" i="6" s="1"/>
  <c r="T7" i="6"/>
  <c r="J48" i="6" s="1"/>
  <c r="S8" i="6"/>
  <c r="I49" i="6" s="1"/>
  <c r="T8" i="6"/>
  <c r="J49" i="6" s="1"/>
  <c r="S9" i="6"/>
  <c r="T9" i="6"/>
  <c r="S10" i="6"/>
  <c r="T10" i="6"/>
  <c r="S11" i="6"/>
  <c r="T11" i="6"/>
  <c r="S12" i="6"/>
  <c r="T12" i="6"/>
  <c r="S13" i="6"/>
  <c r="T13" i="6"/>
  <c r="S14" i="6"/>
  <c r="T14" i="6"/>
  <c r="S15" i="6"/>
  <c r="T15" i="6"/>
  <c r="S16" i="6"/>
  <c r="T16" i="6"/>
  <c r="S17" i="6"/>
  <c r="T17" i="6"/>
  <c r="S18" i="6"/>
  <c r="T18" i="6"/>
  <c r="S19" i="6"/>
  <c r="T19" i="6"/>
  <c r="S20" i="6"/>
  <c r="T20" i="6"/>
  <c r="S21" i="6"/>
  <c r="T21" i="6"/>
  <c r="S22" i="6"/>
  <c r="T22" i="6"/>
  <c r="S23" i="6"/>
  <c r="T23" i="6"/>
  <c r="S24" i="6"/>
  <c r="T24" i="6"/>
  <c r="S25" i="6"/>
  <c r="T25" i="6"/>
  <c r="S26" i="6"/>
  <c r="T26" i="6"/>
  <c r="S27" i="6"/>
  <c r="T27" i="6"/>
  <c r="S28" i="6"/>
  <c r="T28" i="6"/>
  <c r="S29" i="6"/>
  <c r="T29" i="6"/>
  <c r="S30" i="6"/>
  <c r="T30" i="6"/>
  <c r="S31" i="6"/>
  <c r="T31" i="6"/>
  <c r="S32" i="6"/>
  <c r="T32" i="6"/>
  <c r="S33" i="6"/>
  <c r="T33" i="6"/>
  <c r="S34" i="6"/>
  <c r="T34" i="6"/>
  <c r="S35" i="6"/>
  <c r="T35" i="6"/>
  <c r="S36" i="6"/>
  <c r="T36" i="6"/>
  <c r="S37" i="6"/>
  <c r="T37" i="6"/>
  <c r="S38" i="6"/>
  <c r="T38" i="6"/>
  <c r="S39" i="6"/>
  <c r="T39" i="6"/>
  <c r="T4" i="6"/>
  <c r="J45" i="6" s="1"/>
  <c r="S4" i="6"/>
  <c r="I45" i="6" s="1"/>
  <c r="F46" i="6"/>
  <c r="G46" i="6"/>
  <c r="F47" i="6"/>
  <c r="G47" i="6"/>
  <c r="F48" i="6"/>
  <c r="G48" i="6"/>
  <c r="F49" i="6"/>
  <c r="G49" i="6"/>
  <c r="G45" i="6"/>
  <c r="F45" i="6"/>
  <c r="A46" i="6"/>
  <c r="B46" i="6"/>
  <c r="C46" i="6"/>
  <c r="D46" i="6"/>
  <c r="A47" i="6"/>
  <c r="B47" i="6"/>
  <c r="C47" i="6"/>
  <c r="D47" i="6"/>
  <c r="A48" i="6"/>
  <c r="B48" i="6"/>
  <c r="C48" i="6"/>
  <c r="D48" i="6"/>
  <c r="A49" i="6"/>
  <c r="B49" i="6"/>
  <c r="C49" i="6"/>
  <c r="D49" i="6"/>
  <c r="B45" i="6"/>
  <c r="C45" i="6"/>
  <c r="D45" i="6"/>
  <c r="A45" i="6"/>
  <c r="F5" i="6"/>
  <c r="G5" i="6"/>
  <c r="H5" i="6"/>
  <c r="I5" i="6"/>
  <c r="F6" i="6"/>
  <c r="G6" i="6"/>
  <c r="H6" i="6"/>
  <c r="I6" i="6"/>
  <c r="F7" i="6"/>
  <c r="G7" i="6"/>
  <c r="H7" i="6"/>
  <c r="I7" i="6"/>
  <c r="F8" i="6"/>
  <c r="G8" i="6"/>
  <c r="H8" i="6"/>
  <c r="I8" i="6"/>
  <c r="F9" i="6"/>
  <c r="G9" i="6"/>
  <c r="H9" i="6"/>
  <c r="I9" i="6"/>
  <c r="F10" i="6"/>
  <c r="G10" i="6"/>
  <c r="H10" i="6"/>
  <c r="I10" i="6"/>
  <c r="F11" i="6"/>
  <c r="G11" i="6"/>
  <c r="H11" i="6"/>
  <c r="I11" i="6"/>
  <c r="F12" i="6"/>
  <c r="G12" i="6"/>
  <c r="H12" i="6"/>
  <c r="I12" i="6"/>
  <c r="F13" i="6"/>
  <c r="G13" i="6"/>
  <c r="H13" i="6"/>
  <c r="I13" i="6"/>
  <c r="F14" i="6"/>
  <c r="G14" i="6"/>
  <c r="H14" i="6"/>
  <c r="I14" i="6"/>
  <c r="F15" i="6"/>
  <c r="G15" i="6"/>
  <c r="H15" i="6"/>
  <c r="I15" i="6"/>
  <c r="F16" i="6"/>
  <c r="G16" i="6"/>
  <c r="H16" i="6"/>
  <c r="I16" i="6"/>
  <c r="F17" i="6"/>
  <c r="G17" i="6"/>
  <c r="H17" i="6"/>
  <c r="I17" i="6"/>
  <c r="F18" i="6"/>
  <c r="G18" i="6"/>
  <c r="H18" i="6"/>
  <c r="I18" i="6"/>
  <c r="F19" i="6"/>
  <c r="G19" i="6"/>
  <c r="H19" i="6"/>
  <c r="I19" i="6"/>
  <c r="F20" i="6"/>
  <c r="G20" i="6"/>
  <c r="H20" i="6"/>
  <c r="I20" i="6"/>
  <c r="F21" i="6"/>
  <c r="G21" i="6"/>
  <c r="H21" i="6"/>
  <c r="I21" i="6"/>
  <c r="F22" i="6"/>
  <c r="G22" i="6"/>
  <c r="H22" i="6"/>
  <c r="I22" i="6"/>
  <c r="F23" i="6"/>
  <c r="G23" i="6"/>
  <c r="H23" i="6"/>
  <c r="I23" i="6"/>
  <c r="F24" i="6"/>
  <c r="G24" i="6"/>
  <c r="H24" i="6"/>
  <c r="I24" i="6"/>
  <c r="F25" i="6"/>
  <c r="G25" i="6"/>
  <c r="H25" i="6"/>
  <c r="I25" i="6"/>
  <c r="F26" i="6"/>
  <c r="G26" i="6"/>
  <c r="H26" i="6"/>
  <c r="I26" i="6"/>
  <c r="F27" i="6"/>
  <c r="G27" i="6"/>
  <c r="H27" i="6"/>
  <c r="I27" i="6"/>
  <c r="F28" i="6"/>
  <c r="G28" i="6"/>
  <c r="H28" i="6"/>
  <c r="I28" i="6"/>
  <c r="F29" i="6"/>
  <c r="G29" i="6"/>
  <c r="H29" i="6"/>
  <c r="I29" i="6"/>
  <c r="F30" i="6"/>
  <c r="G30" i="6"/>
  <c r="H30" i="6"/>
  <c r="I30" i="6"/>
  <c r="F31" i="6"/>
  <c r="G31" i="6"/>
  <c r="H31" i="6"/>
  <c r="I31" i="6"/>
  <c r="F32" i="6"/>
  <c r="G32" i="6"/>
  <c r="H32" i="6"/>
  <c r="I32" i="6"/>
  <c r="F33" i="6"/>
  <c r="G33" i="6"/>
  <c r="H33" i="6"/>
  <c r="I33" i="6"/>
  <c r="F34" i="6"/>
  <c r="G34" i="6"/>
  <c r="H34" i="6"/>
  <c r="I34" i="6"/>
  <c r="F35" i="6"/>
  <c r="G35" i="6"/>
  <c r="H35" i="6"/>
  <c r="I35" i="6"/>
  <c r="F36" i="6"/>
  <c r="G36" i="6"/>
  <c r="H36" i="6"/>
  <c r="I36" i="6"/>
  <c r="F37" i="6"/>
  <c r="G37" i="6"/>
  <c r="H37" i="6"/>
  <c r="I37" i="6"/>
  <c r="F38" i="6"/>
  <c r="G38" i="6"/>
  <c r="H38" i="6"/>
  <c r="I38" i="6"/>
  <c r="F39" i="6"/>
  <c r="G39" i="6"/>
  <c r="H39" i="6"/>
  <c r="I39" i="6"/>
  <c r="G4" i="6"/>
  <c r="H4" i="6"/>
  <c r="I4" i="6"/>
  <c r="F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 i="6"/>
  <c r="M4" i="6"/>
  <c r="H77" i="14" l="1"/>
  <c r="H76" i="14"/>
  <c r="I101" i="14"/>
  <c r="H75" i="14"/>
  <c r="H78" i="14"/>
  <c r="H79" i="14"/>
  <c r="H88" i="14"/>
  <c r="I97" i="14"/>
  <c r="I98" i="14"/>
  <c r="H93" i="14"/>
  <c r="I99" i="14"/>
  <c r="I63" i="14"/>
  <c r="J110" i="14" s="1"/>
  <c r="I73" i="14"/>
  <c r="H94" i="14"/>
  <c r="H97" i="14"/>
  <c r="H89" i="14"/>
  <c r="H99" i="14"/>
  <c r="I96" i="14"/>
  <c r="H101" i="14"/>
  <c r="I85" i="14"/>
  <c r="H100" i="14"/>
  <c r="H92" i="14"/>
  <c r="H91" i="14"/>
  <c r="H98" i="14"/>
  <c r="H70" i="14"/>
  <c r="H66" i="14"/>
  <c r="F113" i="14" s="1"/>
  <c r="H62" i="14"/>
  <c r="F109" i="14" s="1"/>
  <c r="H69" i="14"/>
  <c r="I77" i="14"/>
  <c r="I62" i="14"/>
  <c r="J109" i="14" s="1"/>
  <c r="I70" i="14"/>
  <c r="I66" i="14"/>
  <c r="J113" i="14" s="1"/>
  <c r="H83" i="14"/>
  <c r="H82" i="14"/>
  <c r="I67" i="14"/>
  <c r="I76" i="14"/>
  <c r="I90" i="14"/>
  <c r="H73" i="14"/>
  <c r="I89" i="14"/>
  <c r="H71" i="14"/>
  <c r="H68" i="14"/>
  <c r="I78" i="14"/>
  <c r="H63" i="14"/>
  <c r="F110" i="14" s="1"/>
  <c r="I82" i="14"/>
  <c r="H67" i="14"/>
  <c r="I88" i="14"/>
  <c r="I71" i="14"/>
  <c r="I80" i="14"/>
  <c r="I94" i="14"/>
  <c r="I75" i="14"/>
  <c r="I93" i="14"/>
  <c r="H85" i="14"/>
  <c r="I69" i="14"/>
  <c r="I83" i="14"/>
  <c r="I68" i="14"/>
  <c r="I86" i="14"/>
  <c r="H65" i="14"/>
  <c r="F112" i="14" s="1"/>
  <c r="H84" i="14"/>
  <c r="I64" i="14"/>
  <c r="J111" i="14" s="1"/>
  <c r="H64" i="14"/>
  <c r="F111" i="14" s="1"/>
  <c r="H72" i="14"/>
  <c r="H86" i="14"/>
  <c r="I72" i="14"/>
  <c r="I91" i="14"/>
  <c r="AJ40" i="6"/>
  <c r="AK12" i="6" s="1"/>
  <c r="R47" i="6"/>
  <c r="V48" i="6"/>
  <c r="V46" i="6"/>
  <c r="AP40" i="6"/>
  <c r="AQ18" i="6" s="1"/>
  <c r="E114" i="14" l="1"/>
  <c r="F114" i="14" s="1"/>
  <c r="I114" i="14"/>
  <c r="J114" i="14" s="1"/>
  <c r="AK5" i="6"/>
  <c r="S46" i="6" s="1"/>
  <c r="R50" i="6"/>
  <c r="S50" i="6" s="1"/>
  <c r="AK35" i="6"/>
  <c r="AK16" i="6"/>
  <c r="AK22" i="6"/>
  <c r="AK19" i="6"/>
  <c r="AK38" i="6"/>
  <c r="AK6" i="6"/>
  <c r="S47" i="6" s="1"/>
  <c r="AK17" i="6"/>
  <c r="AK25" i="6"/>
  <c r="AK7" i="6"/>
  <c r="S48" i="6" s="1"/>
  <c r="AK23" i="6"/>
  <c r="AK39" i="6"/>
  <c r="AK20" i="6"/>
  <c r="AK10" i="6"/>
  <c r="AK26" i="6"/>
  <c r="AK24" i="6"/>
  <c r="AK27" i="6"/>
  <c r="AK4" i="6"/>
  <c r="S45" i="6" s="1"/>
  <c r="AK28" i="6"/>
  <c r="AK14" i="6"/>
  <c r="AK30" i="6"/>
  <c r="AK9" i="6"/>
  <c r="AK29" i="6"/>
  <c r="AK11" i="6"/>
  <c r="AK36" i="6"/>
  <c r="AK15" i="6"/>
  <c r="AK31" i="6"/>
  <c r="AK8" i="6"/>
  <c r="S49" i="6" s="1"/>
  <c r="AK32" i="6"/>
  <c r="AK18" i="6"/>
  <c r="AK34" i="6"/>
  <c r="AK13" i="6"/>
  <c r="AK33" i="6"/>
  <c r="V50" i="6"/>
  <c r="W50" i="6" s="1"/>
  <c r="AK21" i="6"/>
  <c r="AK37" i="6"/>
  <c r="AQ38" i="6"/>
  <c r="AQ11" i="6"/>
  <c r="AQ19" i="6"/>
  <c r="AQ27" i="6"/>
  <c r="AQ35" i="6"/>
  <c r="AQ14" i="6"/>
  <c r="AQ10" i="6"/>
  <c r="AQ13" i="6"/>
  <c r="AQ8" i="6"/>
  <c r="W49" i="6" s="1"/>
  <c r="AQ12" i="6"/>
  <c r="AQ16" i="6"/>
  <c r="AQ20" i="6"/>
  <c r="AQ24" i="6"/>
  <c r="AQ28" i="6"/>
  <c r="AQ32" i="6"/>
  <c r="AQ36" i="6"/>
  <c r="AQ4" i="6"/>
  <c r="W45" i="6" s="1"/>
  <c r="AQ5" i="6"/>
  <c r="W46" i="6" s="1"/>
  <c r="AQ21" i="6"/>
  <c r="AQ29" i="6"/>
  <c r="AQ37" i="6"/>
  <c r="AQ22" i="6"/>
  <c r="AQ7" i="6"/>
  <c r="W48" i="6" s="1"/>
  <c r="AQ15" i="6"/>
  <c r="AQ23" i="6"/>
  <c r="AQ31" i="6"/>
  <c r="AQ39" i="6"/>
  <c r="AQ26" i="6"/>
  <c r="AQ6" i="6"/>
  <c r="W47" i="6" s="1"/>
  <c r="AQ30" i="6"/>
  <c r="AQ9" i="6"/>
  <c r="AQ17" i="6"/>
  <c r="AQ25" i="6"/>
  <c r="AQ33" i="6"/>
  <c r="AQ34" i="6"/>
  <c r="W51" i="14"/>
  <c r="W56" i="1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FBBA17B-B560-49BF-B012-3D1E7ED41B66}"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Population of India.csv!Table1" type="102" refreshedVersion="6" minRefreshableVersion="5">
    <extLst>
      <ext xmlns:x15="http://schemas.microsoft.com/office/spreadsheetml/2010/11/main" uri="{DE250136-89BD-433C-8126-D09CA5730AF9}">
        <x15:connection id="Table1" autoDelete="1">
          <x15:rangePr sourceName="_xlcn.WorksheetConnection_PopulationofIndia.csvTable1"/>
        </x15:connection>
      </ext>
    </extLst>
  </connection>
  <connection id="3" xr16:uid="{00000000-0015-0000-FFFF-FFFF02000000}" name="WorksheetConnection_Population of India.csv!Table3" type="102" refreshedVersion="6" minRefreshableVersion="5">
    <extLst>
      <ext xmlns:x15="http://schemas.microsoft.com/office/spreadsheetml/2010/11/main" uri="{DE250136-89BD-433C-8126-D09CA5730AF9}">
        <x15:connection id="Table3">
          <x15:rangePr sourceName="_xlcn.WorksheetConnection_PopulationofIndia.csvTable3"/>
        </x15:connection>
      </ext>
    </extLst>
  </connection>
</connections>
</file>

<file path=xl/sharedStrings.xml><?xml version="1.0" encoding="utf-8"?>
<sst xmlns="http://schemas.openxmlformats.org/spreadsheetml/2006/main" count="709" uniqueCount="95">
  <si>
    <t>State/UT</t>
  </si>
  <si>
    <t>Population[50]</t>
  </si>
  <si>
    <t>Percent (%)</t>
  </si>
  <si>
    <t>Male</t>
  </si>
  <si>
    <t>Female</t>
  </si>
  <si>
    <t>Difference between male and female</t>
  </si>
  <si>
    <t>Sex ratio</t>
  </si>
  <si>
    <t>Rural[51]</t>
  </si>
  <si>
    <t>Urban[51]</t>
  </si>
  <si>
    <t>Area[52] (km2)</t>
  </si>
  <si>
    <t>Density (per km2)</t>
  </si>
  <si>
    <t>Uttar Pradesh</t>
  </si>
  <si>
    <t>Maharashtra</t>
  </si>
  <si>
    <t>Bihar</t>
  </si>
  <si>
    <t>West Bengal</t>
  </si>
  <si>
    <t>Madhya Pradesh</t>
  </si>
  <si>
    <t>Tamil Nadu</t>
  </si>
  <si>
    <t>Rajasthan</t>
  </si>
  <si>
    <t>Karnataka</t>
  </si>
  <si>
    <t>Gujarat</t>
  </si>
  <si>
    <t>Andhra Pradesh</t>
  </si>
  <si>
    <t>Odisha</t>
  </si>
  <si>
    <t>Telangana</t>
  </si>
  <si>
    <t>Kerala</t>
  </si>
  <si>
    <t>Jharkhand</t>
  </si>
  <si>
    <t>Assam</t>
  </si>
  <si>
    <t>Punjab</t>
  </si>
  <si>
    <t>Chhattisgarh</t>
  </si>
  <si>
    <t>Haryana</t>
  </si>
  <si>
    <t>Delhi (UT)</t>
  </si>
  <si>
    <t>Jammu and Kashmir</t>
  </si>
  <si>
    <t>Uttarakhand</t>
  </si>
  <si>
    <t>Himachal Pradesh</t>
  </si>
  <si>
    <t>Tripura</t>
  </si>
  <si>
    <t>Meghalaya</t>
  </si>
  <si>
    <t>Manipur</t>
  </si>
  <si>
    <t>Nagaland</t>
  </si>
  <si>
    <t>Goa</t>
  </si>
  <si>
    <t>Arunachal Pradesh</t>
  </si>
  <si>
    <t>Puducherry (UT)</t>
  </si>
  <si>
    <t>Mizoram</t>
  </si>
  <si>
    <t>Chandigarh (UT)</t>
  </si>
  <si>
    <t>Sikkim</t>
  </si>
  <si>
    <t>Andaman and Nicobar Islands (UT)</t>
  </si>
  <si>
    <t>Dadra and Nagar Haveli (UT)</t>
  </si>
  <si>
    <t>Daman and Diu (UT)</t>
  </si>
  <si>
    <t>Lakshadweep (UT)</t>
  </si>
  <si>
    <t>Sum of Population[50]</t>
  </si>
  <si>
    <t>Row Labels</t>
  </si>
  <si>
    <t>Sum of Male</t>
  </si>
  <si>
    <t>Sum of Female</t>
  </si>
  <si>
    <t>Sum of Difference between male and female</t>
  </si>
  <si>
    <t>Sum of Sex ratio</t>
  </si>
  <si>
    <t>Sum of Rural[51]</t>
  </si>
  <si>
    <t>Sum of Urban[51]</t>
  </si>
  <si>
    <t>States</t>
  </si>
  <si>
    <t>Population</t>
  </si>
  <si>
    <t>Region</t>
  </si>
  <si>
    <t>Sum of Area[52] (km2)</t>
  </si>
  <si>
    <t>LandArea</t>
  </si>
  <si>
    <t>Combined Population</t>
  </si>
  <si>
    <t>SexRatio</t>
  </si>
  <si>
    <t>Difference between Male And Female</t>
  </si>
  <si>
    <t>RuralArea</t>
  </si>
  <si>
    <t>Percentage</t>
  </si>
  <si>
    <t>UrbanArea</t>
  </si>
  <si>
    <t>sum</t>
  </si>
  <si>
    <t>North</t>
  </si>
  <si>
    <t>West</t>
  </si>
  <si>
    <t>East</t>
  </si>
  <si>
    <t>South</t>
  </si>
  <si>
    <t>Union Territory</t>
  </si>
  <si>
    <t xml:space="preserve">Region </t>
  </si>
  <si>
    <t>TOP 5 POPULATED STATES IN EACH REGION</t>
  </si>
  <si>
    <t/>
  </si>
  <si>
    <t>Gender Distribution Of Top 5 States</t>
  </si>
  <si>
    <t>SexRatio Of Top 5 States</t>
  </si>
  <si>
    <t>Difference Between Gender</t>
  </si>
  <si>
    <t xml:space="preserve">Gender Difference Of Top 5 states  </t>
  </si>
  <si>
    <t>Malepercetange</t>
  </si>
  <si>
    <t>FemalePercentage</t>
  </si>
  <si>
    <t>MalePercentage</t>
  </si>
  <si>
    <t>FemalePerecentage</t>
  </si>
  <si>
    <t>TOP 5 Percentage of Male Popuation Distribution In Each Region</t>
  </si>
  <si>
    <t>TOP 5 Percentage of Female Popuation Distribution In Each Region</t>
  </si>
  <si>
    <t>sum of percentage</t>
  </si>
  <si>
    <t>Column1</t>
  </si>
  <si>
    <t>Column2</t>
  </si>
  <si>
    <t>0</t>
  </si>
  <si>
    <t>Population By Region Wise</t>
  </si>
  <si>
    <t>Sex Ratio By Region Wise</t>
  </si>
  <si>
    <t>Gender Distribution By Region Wise</t>
  </si>
  <si>
    <t>population By States Wise</t>
  </si>
  <si>
    <t>Sex Difference By Region Wise</t>
  </si>
  <si>
    <t>Percentage Of Gender Distribution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</si>
</sst>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5" Type="http://schemas.openxmlformats.org/officeDocument/2006/relationships/pivotCacheDefinition" Target="pivotCache/pivotCacheDefinition1.xml"/><Relationship Id="rId15" Type="http://schemas.openxmlformats.org/officeDocument/2006/relationships/connections" Target="connections.xml"/><Relationship Id="rId10" Type="http://schemas.openxmlformats.org/officeDocument/2006/relationships/pivotCacheDefinition" Target="pivotCache/pivotCacheDefinition6.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dLbls>
          <c:dLblPos val="outEnd"/>
          <c:showLegendKey val="0"/>
          <c:showVal val="1"/>
          <c:showCatName val="0"/>
          <c:showSerName val="0"/>
          <c:showPercent val="0"/>
          <c:showBubbleSize val="0"/>
        </c:dLbls>
        <c:gapWidth val="182"/>
        <c:axId val="311199840"/>
        <c:axId val="311200168"/>
      </c:barChart>
      <c:catAx>
        <c:axId val="311199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11200168"/>
        <c:crosses val="autoZero"/>
        <c:auto val="1"/>
        <c:lblAlgn val="ctr"/>
        <c:lblOffset val="100"/>
        <c:noMultiLvlLbl val="0"/>
      </c:catAx>
      <c:valAx>
        <c:axId val="311200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311199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Analysis!$F$51</c:f>
              <c:strCache>
                <c:ptCount val="1"/>
                <c:pt idx="0">
                  <c:v>Population</c:v>
                </c:pt>
              </c:strCache>
            </c:strRef>
          </c:tx>
          <c:spPr>
            <a:gradFill>
              <a:gsLst>
                <a:gs pos="0">
                  <a:srgbClr val="3DABFD">
                    <a:alpha val="81000"/>
                  </a:srgbClr>
                </a:gs>
                <a:gs pos="100000">
                  <a:srgbClr val="A4F1FE">
                    <a:lumMod val="93000"/>
                  </a:srgbClr>
                </a:gs>
              </a:gsLst>
              <a:lin ang="21594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Analysis!$D$52:$E$56</c:f>
              <c:multiLvlStrCache>
                <c:ptCount val="5"/>
                <c:lvl>
                  <c:pt idx="0">
                    <c:v>West Bengal</c:v>
                  </c:pt>
                  <c:pt idx="1">
                    <c:v>Odisha</c:v>
                  </c:pt>
                  <c:pt idx="2">
                    <c:v>Jharkhand</c:v>
                  </c:pt>
                  <c:pt idx="3">
                    <c:v>Assam</c:v>
                  </c:pt>
                  <c:pt idx="4">
                    <c:v>Haryana</c:v>
                  </c:pt>
                </c:lvl>
                <c:lvl>
                  <c:pt idx="0">
                    <c:v>East</c:v>
                  </c:pt>
                </c:lvl>
              </c:multiLvlStrCache>
            </c:multiLvlStrRef>
          </c:cat>
          <c:val>
            <c:numRef>
              <c:f>Analysis!$F$52:$F$56</c:f>
              <c:numCache>
                <c:formatCode>General</c:formatCode>
                <c:ptCount val="5"/>
                <c:pt idx="0">
                  <c:v>91276115</c:v>
                </c:pt>
                <c:pt idx="1">
                  <c:v>41974218</c:v>
                </c:pt>
                <c:pt idx="2">
                  <c:v>32988134</c:v>
                </c:pt>
                <c:pt idx="3">
                  <c:v>31205576</c:v>
                </c:pt>
                <c:pt idx="4">
                  <c:v>25351462</c:v>
                </c:pt>
              </c:numCache>
            </c:numRef>
          </c:val>
          <c:extLst>
            <c:ext xmlns:c16="http://schemas.microsoft.com/office/drawing/2014/chart" uri="{C3380CC4-5D6E-409C-BE32-E72D297353CC}">
              <c16:uniqueId val="{00000000-3678-477D-B7E9-DEA095B61143}"/>
            </c:ext>
          </c:extLst>
        </c:ser>
        <c:dLbls>
          <c:showLegendKey val="0"/>
          <c:showVal val="0"/>
          <c:showCatName val="0"/>
          <c:showSerName val="0"/>
          <c:showPercent val="0"/>
          <c:showBubbleSize val="0"/>
        </c:dLbls>
        <c:gapWidth val="182"/>
        <c:axId val="519456920"/>
        <c:axId val="519459872"/>
      </c:barChart>
      <c:catAx>
        <c:axId val="519456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19459872"/>
        <c:crosses val="autoZero"/>
        <c:auto val="1"/>
        <c:lblAlgn val="ctr"/>
        <c:lblOffset val="100"/>
        <c:noMultiLvlLbl val="0"/>
      </c:catAx>
      <c:valAx>
        <c:axId val="519459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19456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Analysis!$V$50</c:f>
              <c:strCache>
                <c:ptCount val="1"/>
                <c:pt idx="0">
                  <c:v>Male</c:v>
                </c:pt>
              </c:strCache>
            </c:strRef>
          </c:tx>
          <c:spPr>
            <a:gradFill>
              <a:gsLst>
                <a:gs pos="0">
                  <a:srgbClr val="3DABFD">
                    <a:alpha val="81000"/>
                  </a:srgbClr>
                </a:gs>
                <a:gs pos="100000">
                  <a:srgbClr val="A4F1FE">
                    <a:lumMod val="93000"/>
                  </a:srgbClr>
                </a:gs>
              </a:gsLst>
              <a:lin ang="4800000" scaled="0"/>
            </a:gradFill>
            <a:ln>
              <a:noFill/>
            </a:ln>
            <a:effectLst/>
          </c:spPr>
          <c:invertIfNegative val="0"/>
          <c:cat>
            <c:multiLvlStrRef>
              <c:f>Analysis!$T$51:$U$55</c:f>
              <c:multiLvlStrCache>
                <c:ptCount val="5"/>
                <c:lvl>
                  <c:pt idx="0">
                    <c:v>West Bengal</c:v>
                  </c:pt>
                  <c:pt idx="1">
                    <c:v>Odisha</c:v>
                  </c:pt>
                  <c:pt idx="2">
                    <c:v>Jharkhand</c:v>
                  </c:pt>
                  <c:pt idx="3">
                    <c:v>Assam</c:v>
                  </c:pt>
                  <c:pt idx="4">
                    <c:v>Haryana</c:v>
                  </c:pt>
                </c:lvl>
                <c:lvl>
                  <c:pt idx="0">
                    <c:v>East</c:v>
                  </c:pt>
                </c:lvl>
              </c:multiLvlStrCache>
            </c:multiLvlStrRef>
          </c:cat>
          <c:val>
            <c:numRef>
              <c:f>Analysis!$V$51:$V$55</c:f>
              <c:numCache>
                <c:formatCode>General</c:formatCode>
                <c:ptCount val="5"/>
                <c:pt idx="0">
                  <c:v>46809027</c:v>
                </c:pt>
                <c:pt idx="1">
                  <c:v>21212136</c:v>
                </c:pt>
                <c:pt idx="2">
                  <c:v>16930315</c:v>
                </c:pt>
                <c:pt idx="3">
                  <c:v>15939443</c:v>
                </c:pt>
                <c:pt idx="4">
                  <c:v>13494734</c:v>
                </c:pt>
              </c:numCache>
            </c:numRef>
          </c:val>
          <c:extLst>
            <c:ext xmlns:c16="http://schemas.microsoft.com/office/drawing/2014/chart" uri="{C3380CC4-5D6E-409C-BE32-E72D297353CC}">
              <c16:uniqueId val="{00000000-1791-40AC-BF09-20A53EAEE4FF}"/>
            </c:ext>
          </c:extLst>
        </c:ser>
        <c:ser>
          <c:idx val="1"/>
          <c:order val="1"/>
          <c:tx>
            <c:strRef>
              <c:f>Analysis!$W$50</c:f>
              <c:strCache>
                <c:ptCount val="1"/>
                <c:pt idx="0">
                  <c:v>Female</c:v>
                </c:pt>
              </c:strCache>
            </c:strRef>
          </c:tx>
          <c:spPr>
            <a:gradFill>
              <a:gsLst>
                <a:gs pos="100000">
                  <a:srgbClr val="DC2AEA">
                    <a:alpha val="81000"/>
                  </a:srgbClr>
                </a:gs>
                <a:gs pos="0">
                  <a:srgbClr val="F577EC">
                    <a:lumMod val="76000"/>
                    <a:lumOff val="24000"/>
                  </a:srgbClr>
                </a:gs>
              </a:gsLst>
              <a:lin ang="4800000" scaled="0"/>
            </a:gradFill>
            <a:ln>
              <a:noFill/>
            </a:ln>
            <a:effectLst/>
          </c:spPr>
          <c:invertIfNegative val="0"/>
          <c:cat>
            <c:multiLvlStrRef>
              <c:f>Analysis!$T$51:$U$55</c:f>
              <c:multiLvlStrCache>
                <c:ptCount val="5"/>
                <c:lvl>
                  <c:pt idx="0">
                    <c:v>West Bengal</c:v>
                  </c:pt>
                  <c:pt idx="1">
                    <c:v>Odisha</c:v>
                  </c:pt>
                  <c:pt idx="2">
                    <c:v>Jharkhand</c:v>
                  </c:pt>
                  <c:pt idx="3">
                    <c:v>Assam</c:v>
                  </c:pt>
                  <c:pt idx="4">
                    <c:v>Haryana</c:v>
                  </c:pt>
                </c:lvl>
                <c:lvl>
                  <c:pt idx="0">
                    <c:v>East</c:v>
                  </c:pt>
                </c:lvl>
              </c:multiLvlStrCache>
            </c:multiLvlStrRef>
          </c:cat>
          <c:val>
            <c:numRef>
              <c:f>Analysis!$W$51:$W$55</c:f>
              <c:numCache>
                <c:formatCode>General</c:formatCode>
                <c:ptCount val="5"/>
                <c:pt idx="0">
                  <c:v>44467088</c:v>
                </c:pt>
                <c:pt idx="1">
                  <c:v>20762082</c:v>
                </c:pt>
                <c:pt idx="2">
                  <c:v>16057819</c:v>
                </c:pt>
                <c:pt idx="3">
                  <c:v>15266133</c:v>
                </c:pt>
                <c:pt idx="4">
                  <c:v>11856728</c:v>
                </c:pt>
              </c:numCache>
            </c:numRef>
          </c:val>
          <c:extLst>
            <c:ext xmlns:c16="http://schemas.microsoft.com/office/drawing/2014/chart" uri="{C3380CC4-5D6E-409C-BE32-E72D297353CC}">
              <c16:uniqueId val="{00000001-1791-40AC-BF09-20A53EAEE4FF}"/>
            </c:ext>
          </c:extLst>
        </c:ser>
        <c:dLbls>
          <c:showLegendKey val="0"/>
          <c:showVal val="0"/>
          <c:showCatName val="0"/>
          <c:showSerName val="0"/>
          <c:showPercent val="0"/>
          <c:showBubbleSize val="0"/>
        </c:dLbls>
        <c:gapWidth val="219"/>
        <c:overlap val="-27"/>
        <c:axId val="565841032"/>
        <c:axId val="519462824"/>
      </c:barChart>
      <c:catAx>
        <c:axId val="565841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19462824"/>
        <c:crosses val="autoZero"/>
        <c:auto val="1"/>
        <c:lblAlgn val="ctr"/>
        <c:lblOffset val="100"/>
        <c:noMultiLvlLbl val="0"/>
      </c:catAx>
      <c:valAx>
        <c:axId val="519462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6584103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Analysis!$L$50</c:f>
              <c:strCache>
                <c:ptCount val="1"/>
                <c:pt idx="0">
                  <c:v>SexRatio</c:v>
                </c:pt>
              </c:strCache>
            </c:strRef>
          </c:tx>
          <c:spPr>
            <a:gradFill>
              <a:gsLst>
                <a:gs pos="0">
                  <a:srgbClr val="3DABFD">
                    <a:alpha val="81000"/>
                  </a:srgbClr>
                </a:gs>
                <a:gs pos="100000">
                  <a:srgbClr val="A4F1FE">
                    <a:lumMod val="93000"/>
                  </a:srgbClr>
                </a:gs>
              </a:gsLst>
              <a:lin ang="48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Analysis!$J$51:$K$55</c:f>
              <c:multiLvlStrCache>
                <c:ptCount val="5"/>
                <c:lvl>
                  <c:pt idx="0">
                    <c:v>Arunachal Pradesh</c:v>
                  </c:pt>
                  <c:pt idx="1">
                    <c:v>Assam</c:v>
                  </c:pt>
                  <c:pt idx="2">
                    <c:v>Haryana</c:v>
                  </c:pt>
                  <c:pt idx="3">
                    <c:v>Jharkhand</c:v>
                  </c:pt>
                  <c:pt idx="4">
                    <c:v>Manipur</c:v>
                  </c:pt>
                </c:lvl>
                <c:lvl>
                  <c:pt idx="0">
                    <c:v>East</c:v>
                  </c:pt>
                </c:lvl>
              </c:multiLvlStrCache>
            </c:multiLvlStrRef>
          </c:cat>
          <c:val>
            <c:numRef>
              <c:f>Analysis!$L$51:$L$55</c:f>
              <c:numCache>
                <c:formatCode>General</c:formatCode>
                <c:ptCount val="5"/>
                <c:pt idx="0">
                  <c:v>938</c:v>
                </c:pt>
                <c:pt idx="1">
                  <c:v>958</c:v>
                </c:pt>
                <c:pt idx="2">
                  <c:v>879</c:v>
                </c:pt>
                <c:pt idx="3">
                  <c:v>948</c:v>
                </c:pt>
                <c:pt idx="4">
                  <c:v>985</c:v>
                </c:pt>
              </c:numCache>
            </c:numRef>
          </c:val>
          <c:extLst>
            <c:ext xmlns:c16="http://schemas.microsoft.com/office/drawing/2014/chart" uri="{C3380CC4-5D6E-409C-BE32-E72D297353CC}">
              <c16:uniqueId val="{00000000-3814-4C91-B7FB-F6B88F5019FF}"/>
            </c:ext>
          </c:extLst>
        </c:ser>
        <c:dLbls>
          <c:showLegendKey val="0"/>
          <c:showVal val="0"/>
          <c:showCatName val="0"/>
          <c:showSerName val="0"/>
          <c:showPercent val="0"/>
          <c:showBubbleSize val="0"/>
        </c:dLbls>
        <c:gapWidth val="182"/>
        <c:axId val="512437560"/>
        <c:axId val="512430344"/>
      </c:barChart>
      <c:catAx>
        <c:axId val="512437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12430344"/>
        <c:crosses val="autoZero"/>
        <c:auto val="1"/>
        <c:lblAlgn val="ctr"/>
        <c:lblOffset val="100"/>
        <c:noMultiLvlLbl val="0"/>
      </c:catAx>
      <c:valAx>
        <c:axId val="512430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12437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Analysis!$AI$51</c:f>
              <c:strCache>
                <c:ptCount val="1"/>
                <c:pt idx="0">
                  <c:v>Difference Between Gender</c:v>
                </c:pt>
              </c:strCache>
            </c:strRef>
          </c:tx>
          <c:spPr>
            <a:gradFill>
              <a:gsLst>
                <a:gs pos="100000">
                  <a:srgbClr val="A4F1FE"/>
                </a:gs>
                <a:gs pos="0">
                  <a:srgbClr val="3DABFD"/>
                </a:gs>
              </a:gsLst>
              <a:lin ang="48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Analysis!$AG$52:$AH$56</c:f>
              <c:multiLvlStrCache>
                <c:ptCount val="5"/>
                <c:lvl>
                  <c:pt idx="0">
                    <c:v>West Bengal</c:v>
                  </c:pt>
                  <c:pt idx="1">
                    <c:v>Haryana</c:v>
                  </c:pt>
                  <c:pt idx="2">
                    <c:v>Jharkhand</c:v>
                  </c:pt>
                  <c:pt idx="3">
                    <c:v>Assam</c:v>
                  </c:pt>
                  <c:pt idx="4">
                    <c:v>Odisha</c:v>
                  </c:pt>
                </c:lvl>
                <c:lvl>
                  <c:pt idx="0">
                    <c:v>East</c:v>
                  </c:pt>
                </c:lvl>
              </c:multiLvlStrCache>
            </c:multiLvlStrRef>
          </c:cat>
          <c:val>
            <c:numRef>
              <c:f>Analysis!$AI$52:$AI$56</c:f>
              <c:numCache>
                <c:formatCode>General</c:formatCode>
                <c:ptCount val="5"/>
                <c:pt idx="0">
                  <c:v>2341939</c:v>
                </c:pt>
                <c:pt idx="1">
                  <c:v>1638006</c:v>
                </c:pt>
                <c:pt idx="2">
                  <c:v>872496</c:v>
                </c:pt>
                <c:pt idx="3">
                  <c:v>673310</c:v>
                </c:pt>
                <c:pt idx="4">
                  <c:v>450054</c:v>
                </c:pt>
              </c:numCache>
            </c:numRef>
          </c:val>
          <c:extLst>
            <c:ext xmlns:c16="http://schemas.microsoft.com/office/drawing/2014/chart" uri="{C3380CC4-5D6E-409C-BE32-E72D297353CC}">
              <c16:uniqueId val="{00000000-8D59-4F3C-B7BB-8920A5495E92}"/>
            </c:ext>
          </c:extLst>
        </c:ser>
        <c:dLbls>
          <c:showLegendKey val="0"/>
          <c:showVal val="0"/>
          <c:showCatName val="0"/>
          <c:showSerName val="0"/>
          <c:showPercent val="0"/>
          <c:showBubbleSize val="0"/>
        </c:dLbls>
        <c:gapWidth val="219"/>
        <c:overlap val="-27"/>
        <c:axId val="572997592"/>
        <c:axId val="572991360"/>
      </c:barChart>
      <c:catAx>
        <c:axId val="572997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72991360"/>
        <c:crosses val="autoZero"/>
        <c:auto val="1"/>
        <c:lblAlgn val="ctr"/>
        <c:lblOffset val="100"/>
        <c:noMultiLvlLbl val="0"/>
      </c:catAx>
      <c:valAx>
        <c:axId val="572991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572997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3DABFD"/>
              </a:solidFill>
              <a:ln w="88900">
                <a:solidFill>
                  <a:srgbClr val="3DABFD"/>
                </a:solidFill>
              </a:ln>
              <a:effectLst/>
            </c:spPr>
            <c:extLst>
              <c:ext xmlns:c16="http://schemas.microsoft.com/office/drawing/2014/chart" uri="{C3380CC4-5D6E-409C-BE32-E72D297353CC}">
                <c16:uniqueId val="{00000001-2A46-4A04-8E78-76890149E7F1}"/>
              </c:ext>
            </c:extLst>
          </c:dPt>
          <c:dPt>
            <c:idx val="1"/>
            <c:bubble3D val="0"/>
            <c:spPr>
              <a:solidFill>
                <a:schemeClr val="bg1">
                  <a:lumMod val="85000"/>
                </a:schemeClr>
              </a:solidFill>
              <a:ln w="0">
                <a:solidFill>
                  <a:schemeClr val="lt1"/>
                </a:solidFill>
              </a:ln>
              <a:effectLst/>
            </c:spPr>
            <c:extLst>
              <c:ext xmlns:c16="http://schemas.microsoft.com/office/drawing/2014/chart" uri="{C3380CC4-5D6E-409C-BE32-E72D297353CC}">
                <c16:uniqueId val="{00000003-2A46-4A04-8E78-76890149E7F1}"/>
              </c:ext>
            </c:extLst>
          </c:dPt>
          <c:val>
            <c:numRef>
              <c:f>Analysis!$E$114:$F$114</c:f>
              <c:numCache>
                <c:formatCode>General</c:formatCode>
                <c:ptCount val="2"/>
                <c:pt idx="0">
                  <c:v>0.83048423892934442</c:v>
                </c:pt>
                <c:pt idx="1">
                  <c:v>0.16951576107065558</c:v>
                </c:pt>
              </c:numCache>
            </c:numRef>
          </c:val>
          <c:extLst>
            <c:ext xmlns:c16="http://schemas.microsoft.com/office/drawing/2014/chart" uri="{C3380CC4-5D6E-409C-BE32-E72D297353CC}">
              <c16:uniqueId val="{00000004-2A46-4A04-8E78-76890149E7F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rgbClr val="DC2AEA"/>
              </a:solidFill>
              <a:ln w="88900">
                <a:solidFill>
                  <a:srgbClr val="DC2AEA"/>
                </a:solidFill>
              </a:ln>
              <a:effectLst/>
            </c:spPr>
            <c:extLst>
              <c:ext xmlns:c16="http://schemas.microsoft.com/office/drawing/2014/chart" uri="{C3380CC4-5D6E-409C-BE32-E72D297353CC}">
                <c16:uniqueId val="{00000001-65E2-4E19-A0F1-591C4B54D89E}"/>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5E2-4E19-A0F1-591C4B54D89E}"/>
              </c:ext>
            </c:extLst>
          </c:dPt>
          <c:val>
            <c:numRef>
              <c:f>Analysis!$I$114:$J$114</c:f>
              <c:numCache>
                <c:formatCode>General</c:formatCode>
                <c:ptCount val="2"/>
                <c:pt idx="0">
                  <c:v>0.94050999292165705</c:v>
                </c:pt>
                <c:pt idx="1">
                  <c:v>5.9490007078342955E-2</c:v>
                </c:pt>
              </c:numCache>
            </c:numRef>
          </c:val>
          <c:extLst>
            <c:ext xmlns:c16="http://schemas.microsoft.com/office/drawing/2014/chart" uri="{C3380CC4-5D6E-409C-BE32-E72D297353CC}">
              <c16:uniqueId val="{00000004-65E2-4E19-A0F1-591C4B54D89E}"/>
            </c:ext>
          </c:extLst>
        </c:ser>
        <c:dLbls>
          <c:showLegendKey val="0"/>
          <c:showVal val="0"/>
          <c:showCatName val="0"/>
          <c:showSerName val="0"/>
          <c:showPercent val="0"/>
          <c:showBubbleSize val="0"/>
          <c:showLeaderLines val="1"/>
        </c:dLbls>
        <c:firstSliceAng val="72"/>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E6023C31-4FE5-4141-9D86-0C8841D4AC74}">
          <cx:tx>
            <cx:txData>
              <cx:f>_xlchart.v5.2</cx:f>
              <cx:v>Region</cx:v>
            </cx:txData>
          </cx:tx>
          <cx:dataId val="0"/>
          <cx:layoutPr>
            <cx:regionLabelLayout val="showAll"/>
            <cx:geography viewedRegionType="dataOnly" cultureLanguage="en-US" cultureRegion="IN" attribution="Powered by Bing">
              <cx:geoCache provider="{E9337A44-BEBE-4D9F-B70C-5C5E7DAFC167}">
                <cx:binary>7Hxpb+S4suVfKdSHwQwwcnMTSd25fYGmlOn0vpRr/SJk2y5q3yhKon79i/RSbefNWnquHzAGxmig
XVYyRfEwIk6cCOqf19M/rovbdfdmKovK/ON6+v1t0vfNP377zVwnt+Xa7JXpdVeb+mu/d12Xv9Vf
v6bXt7/ddOsxrfRvBGH223Wy7vrb6e2//gnfpm/r4/p63ad1dWFvO3d5a2zRmx9c23npzfqmTKso
NX2XXvf497cn65vErd+cd+ubW5O8fXNb9Wnvrlxz+/vbZ599++a37W/8t7u/KWCCvb2BsYTu+VRi
4fsS3f3gt2+KutIPl4XcI1IGnFIc3P3Qx1ufrksY/uvTupvU+uamuzUGnu7u//8+/tmjwOXzt2+u
a1v1m4XUsKa/vz2obtL12zepqcP7C2G9eY6D07sH/+05BP/659YfYCm2/vIEpe11+9mlfwPpdK3X
xbq6eVyjF4CH7yGOpYSNdr/+wTN4ArbHOKAnHsBD4vHW9/D8yoR2A/PXyC1ITo9fFSQfb03/Rt1W
AMzj0rwAKnRP+gz7SMB6P7EWKfYCQXjA6ANY/uM97+H4xcnsRuTZ4C1QPqpXBcr7vgeX+/K+jO8F
hPoc43tXhp77Mon2fM6pT+QDPFu+7JdntRufreFbCL1/XZ7sJJ3rbl0+bt8XMRmKhI8Rlc9MJiB7
knJEAsR2B5ifT2Q3HN+eYAuIky+vylRO1lXa2O4FgWB7gjJOOUU7Iwq4NhFIQEp8u3zPNR4D/k/n
8x08Hh9kGw8I3K8oxJ+sge2tTdJ3QEJeioThYI/5BEnqBztJGN/DSAaUPJhIsBVWfnFO38PlyQNt
Y7N6VdioFB7l5VAh/h4HU/CxT3ehIuEyCjhnAXm8572J/HQau4F4GLYFgbp8VRDs2wzMo39ckBeI
G2SPB0Cpvrmj5wRY4D0/EBBU4CP3P4+3vsfiF+azG41vA7fw2D98VXgcrbtq3a/zl3RWEEAwYoQx
ssssBDgrMBswmt0s65dmtBuTJ0O3UDn641Whsl+/JB7+HgRzQgMiv5nAk5xEsD3kg3VwQu4vbwWP
n8xlNxJ3g7Yw2H9dGFyty7R4c7q+sY8e4z93VhjvIcwh+5DPSS6oKAwJRJC/lZ//2iR2Y/B07BYU
V6+LU12us7Xpk3X1ckgQvudLBlYBZPYxLjw1ik0CjzAB6eTeh20ZxS/NaDcsT4ZuoXL5ukLHH9VN
0v03KI7Y3wO10ccy2JmAiGAv4BtxJdidEP76tHbjsz1+C6Q/XleefnaTmuQFgwkBjQRTxBikIjvs
RoLeSED6gtxxp938fDq7QXkctwXG2esiv1e3IP7qdfWCeGCxB9Iu9wO8FVGCPYQCyQL/wUrg8tM0
/ZemshuLJ0O34Ljaf1Us6+i2AzX+cV1eILqjPQarjeFnl20A8WUI8hCG+b1tbKWFP5/Objwex22B
cfS6dPhDSM1zCPEvWRuhexzEXhI86rnPTQTycx/AoIQ/8GL2uBXuU8NfmtFuSJ4M3ULlcPWqTOQP
Y15U5OV7FIKDBG+1y0I2Wi8RoHEFu1PDn85mNxoPw7aQ+OPdq0Li3FbZ+s/HHfqfOyuK9iQjmPkb
deop8/X3wEFJwijbGcF/Po/dIDyO20LhXL0yFG4s1P27zr35n++v/tfLwQGZoQwI5oTuFk2CPQGg
CPIAyqZy9TScn9vHeT3+fdcO+R4yf43dRufzq0InTJJ136dGr7vkR+vwNzsg8B7hfEOldkIjyR5i
GNwW2ornvzqb3ag8H72FS3j1qnBZrTv3oqyXBHs4kDhgkJY/9V0QXhgCG2EP7Q78cRfcR/RfmMdu
ML4N3MJhdfmqcIhuiyR9YcdF5B5nIOUi/sBqwTM9hUTsYewzAVWS+4i/BcndlB5R+nWf9TBsC47o
lVHedVnaN0B53xxBwbBMux+tw9/zWRS6tkBk90HD2kW0hA8FQ8EBst2oHN7N7H+sy+b//MrcdhvN
zi/ZQuzw6FUZ0F0Lx/qF0xRgYpCEIIgxDyWq52kK6F2gC1Mq/K348ouT2Q3Os8FboLx/XaCs0nIN
LZbFy/cLUXzfLwTM654L/5tvI5QTTPl3ws3fmNhulP790bagWr0uNfKq2/SqvKDkAt2pgvkIurqe
l30DDH8nApB5QG5Lv/+FiexG5NvALSCuXhcTOLnVYDFr95JQgJwCyT2m4rG58RkRAESIgBxGoN2F
+F+a0W5MngzdQuXkdRGCPzpb/Te5MiKgD4KC8gIddnc/EEye0LRg00EkqICGlZ007W/NbDdKO75i
C60/XpcNhRu1Mt3kmi9MqYEQCBKALcndlJrvQTs39N/5D6XLLd3yr3n9iE/uBunp2C10wtelXL5L
8zx9yf5UMCCoBVMo0u9i1BIq+AJQg2ave/vaynN+Pp3dgDyO2wLj3euiaFBTXZfr6i7XOU2v6z+h
u/vAbE5CmBe2HQztYAAAkQis4qmD27QRY5D6n3S1PhXQfjDDv29FP/yyLST/eF2tGNEajjbd4whn
Wbo3q/VwW7y4pgAZEQkIA4HnGYiCQpSCzjJfPBjZlufbPbm/j9/3vmcLuu997BV1K0ffzDJK7Qub
IrQKPHQAPqRHW9nTxiLBVLHcOmbxbE7/N+A9ehp4pLfPj2D9/nbry18RVMfr3CTrm/H2tnlhoKD2
QAQcSgq2u9KgM5CRADj7Vvb0ZCp/H59ng7cs6jj6f1oO2r1bnjb5P/vE3z1pSaA4SnwQUh+KPFv2
EmzaOLmAjvOdDOPh3OP3Z7ObYDwMezbx/+ZDlN8/YPntIGoEPcmLuxOsT85Y/vjq3ePB6dqtoT86
g3G/Vgc3cMqVUwzL/e1k7OZLflJgezLsFroTf38LhSDgfz5UH6CfFo7QbA4yjXC68Pe3ILduWqKg
q41jn9xfqequT35/i4HMM1AvoPbn8wDKrpCXmdreXYIKLTQgbtI2AuUlGuBvJ4jP68Lpuvq2IA//
flPZ8rxOq978/hb0kOb+U5uJCgYH24RkHJK8gCH4FZxuc72+hEPK8GH8v/0mcMg2tl140v8cTzY0
cqyU1laExThUKm/ttNSBOG4qev1kpXbcGqjvD28NUfvprUmGRZ4j0y4CllulE5OrJJtXTR7/ObZY
qh/fjWye5OmTAjkQmEo4LIM49KATgOHp7bJ4yHjPKrccspwd6jbuwyATTTRJki+daT4hnWX7UOJt
F0Vh5SIQgwjzBvnRwO2noa5axWb9ISvzc9eLEz+bQmoLX/Uo/ti2MYGl6lOV1tkRppVZ/Hj2eMf0
oYVISl9AiyO0ZLMNkE+AIl1pBB9atvDzvl4JSjOj6t7rVDswt/D62Q/Hxslozul0Htgsfcdi/4xM
LYoGIo1Ctv2Uz1yHmUSfPVYdJ5Ttkzr/U4vBV1CGOOjbPlPTCJ8l5ZipSs6z0qPc53VStaF07YFu
CbryKsQ6FRfdqvaKyA1aifnC1SjMknQx+Mkl87OVduOfJvdVPiaLwZbRFA99qNP8QiT5ZVO4d6y9
cR2zypvUlymd5n3huIt6WoqTugvqTOEmPwiktQck4dW+MbyIfAkPM1X0A+sw3ScF0Vc8RxeVV6Sq
CODOtB2KY6Int87KXuzXQTbtT3Ak64hkxaRYWyGhOA66iGGbnrlOjIoVY7tCItdLX8RT5HtxcMi8
MT6WMp8VCzJzPg4xW82lqQ57U8svkAqKUFdpfSZ9UykbNNqqivMvUx4HC39MyJ+NPw+3je3R4YCP
RpKMpyOadaKQNGaZ0bxe+pzMh5WFWyA+h2yo8NKrRHOTphloCzU/GAMZhIS045JxfOGZplO1Sw7j
vPicyuSwZcF7PXCiBEDjG9etsIEBTRanq7GMs6goTXuCJVlMtr4SBeD94w1JwAE9Myfog2Yb78Fg
SxIuCHCBp/sx0DVum97hhS2KSkepP9dV2LR9koeV1M0+B9d1laZkOp4T631JYh+3qpHtoOK0rY+l
oO8nMoTzEFdHo7Xydqqke0dzVOwbPzYhDwy6TGidfzSttSdiitHXu0d4CCMPDujeF17XjetSnTy8
UOHbP/91VZfw393Z/r/+uHkfw1//Onl8kcMPP7V/W2+KyWb7Q5vZfPsumMzD7DaB5Nk//i2qfSdu
3b8X4jsXfy2oQTcJhvME3w9qT87L/BUKH0bdxzQ4mODD4RAJ59hAY9+Eo28xDcghRDuoTEFK5kvo
xn775jGmgRYC5V7I1CRMQEAo/CumwXEsQaDoCFcY/MLlfxTTfClhQwIrCuCbQNx8vjW58b1G9EG/
8I2/cpU743H+FctqOfR55MX9xVDnX1vWdz8JMVJsQtbTGAP9IBgiNpbQeuvDs2yM5omT1olPZz4X
dsHjoLuNmUDKMgbucvQHrA8ImlmmUojKVInUmy8n00zFQTEk82mKTfMV2rLcFObOTlxVuZSfaunq
owzoQa3a1LEy0toPMoWMk+esaCejLBqSJfVjEiYdrfdnPohDT/d8qU3QzKpycaOANSA18e5s1AWP
4KUd1xnSVWRzucwCisPeSwYl2urSlWWpeo0W3CPoqE8mpNjUZZd0wnxQ0zTQU1x7+LzQOD8VxuuE
slM2nlKZXelAwv1iN5n9ifLywvn1Im+y4wwi1UnewFJMwYznMJ6Qm1SapzB4dGkelnU7XFPusfe9
MJMJjcX6LBVBd+xXpR/i1MWK8NSWqiFOhKT3M0WLTH9IRxxccn+YFvGcNJEu6n08EgvBqGVRXPfJ
px5pqsO8Y97SQWCsQzp48mz0TP81nkgwqaoOOh3qrA9u+mY0ZOFG7indBej9hGYDvxLYY1Hc0OTS
1G1cqIq5vAoh9mSdKnM37kskkyNC0Xg0+l51TFjRhdTz+emUluwMpXOaLEju/PPWy0XImUHHqQGi
ZZupOp/0qG0IsaGv1NyK/pCLsgpU08TVfs3sdDxksl8mXlyFWZcFyyzt56NqGpr3bSWFDdvGeDoS
1K8/kMkzEek96SmRj423b+UQ1OeaUIimCcvLFvaB7eNoqNoyZKYJejXUlq1AOEubsE7Q/KEsCMoh
uAvd9yFxuJ9UU0h3Bp8bW0XGCt/6HrQ8LbQdKgj2fXCe8NHgEA2e9kPb8Sz0sdcfWDMwrmRVZ8O+
HlCdK4MI3WeJmJqo1o3/wXeDmBdz5ngc8aGKVTz1UiremSxTtWjcQQyMxyhd+82JtUn/pa0IbKS8
RZ80qpPbuBfNNaxMemnyKjgTuV/lqnWFqxYps8knVpVpolKb6iXJKsoUdD0M55xYuMtMEryicR70
oSsE+zI2zBzyOeNTGLOhiFU6ZEkVJRS7BUknsswMcBZSz/SywjJvoxGTfo6yskWlmoNhum5LwbXK
9NhcDDEOvhhZJx+h7FnIBZNdfRIURY4jGWj+YeixU8JaPC0sTad1Wffm/aiDgihSdXzdpllbqUZ4
eYRxx/2QF1mHwha3+NYzKX6X9E35YfCz+IJPVHyqbEEGldAi9iIyUnSl4yywiuEhbxa28st3NQfe
aJzlo9KtbkoVZzw3kaG2pMs0kcD7eFd4OOKTIMDEOZ8XCYip+zgZbBcmesZq6CVaOTEPw36SJ91l
Nw7tpAKNiqM5zycM9CQGL5KLUo+qLEbvzDXOlCHOZf4hc16QKoTqDIW8EvU1Ql2FIu7TcjW3XmMU
9jLhwBMScWCrFJ6H27IGi89kdu6VRXJOeuHbsAt8kYdzhceLtJb0A0Dqq7rhJVdcNnwRM96905Ym
EWvYuIDKZHlR4DRbzI3hXDV8aj9RAz4dnBlyn0fE+Bdw5oCobCovUUbgyg+ZLL0gbAed5UpPTd8o
T5bTrMDIexr2E8zUa/pDq7mrFMww8EI8VOAWhjj26yj35uF07Pn4oUBdNoczK4Csx0NAmhW80YJ8
Tnsz+KG2vt8sEPYqFo0OZSdZQOy558vmvXSTX4YmHoRcxGPFPo3l3Ny0eu6KqEwsuPQUBV4b9qTT
c9gUyewrLTunD3DsEaEgPchPy6pEyXmNNHBwxgN6WA9cJ/umoH1w6DxrtHIWg3V1dZnyiLWZtx7j
bopDp+POLCpSxUtTmSZVoxFsyWibFdHYzLpWMa08FsLG6YaorfNJK1Z7ZR7WIwqiNq6dr7jzDXwE
+36ipk7a4840JQyR82GQDU3YEBmfwE7qvojBwyde3okPNuvKw6Ec8qM5Q+CIEdD+FU8cRNC8su5j
CQfzbKhlOp6yPpfVoszBU89Vzjvl8qRtFZTPxE0NdPzdlBOqUoZ4qcYG5Q2YnOi+OjskFx2nTRKm
VdYvBhSMp7Ic8RIedAiprsuPVa27Q53LOg0zAWFH80LnilfzUUkqFHrCmiMBpregMPP13Gendkxi
ZQXynZqBSP2pY784ZbE148KOcZ2EOU1FGpIGakmrWDs0qtzKeI20E62yvM/dcc1dgZXkQ/IR0QkB
0LJIs1BOk7Rhg+HZpjhxn+hM+RW43+Z86gjf12hyn2uIz8ccEp80lAUpPpd2CqjCZhZcaUgwdDhk
IkUhsbgNlHH5DGbooe7LaP3+nAlvOI2nmJwjYfxb6kYvlHE6v/fBkK4D7sUs7BFPl1Nd7BOWuiaU
dR+nqiv67mZOB92EfmuEHwaB5+sNaOQiZa19V9fYHlhE8uK4HQbx2bdJ8nXO4zIJcdIOicJFLmHh
smTuUtVPE2EH88SGNqx1LD853PA1RJf0Al7dk0zgtpoST4rYbi6ium+8HqnW5OIMxRDyIYua2XRQ
iMrPQo92LDKd9aOJFgaMwOVqMl62bkkQn9ZD/XEouySqOsj5kgzXYVoalyyBGLRzaHtPDEcuYfwd
n2kyhq3zCx6WMcuWTTJ5TVTCSuAydt3CNh7NVEnkdUt6elQlXPpqElh3YVwHZtV6Hj+2DH9uedy+
zyfK/pQ5CYqVQLDNFgExaaswAZKgmBX9V8m9rFWtFYNdsNSXl4hyHS/tQJ1TMtexiZLJZmCd1BKt
xpF2sGmG0uIFklmeKGknrz6yA2Mfx76FHVXiqgIiVDAI+gjCXlcgSFvlLCFcQoDHX7s8jmvw04X+
lHbVMIeeZdMZT1NDIuTKYZGkTpdKJCCvHOdT6Q7TNvX+jNPOSpX6LM1V3kkUNqBMfIEU3DhV2NT7
oj1e85Aal62nkYIXCEhZjwrPHn5XyYaxlR4a4CYMz+P7MR8RBGPPUHPgYmgsVbAFxjjMs8zpE0cR
vURVMctlMfKxUOlctF1oadUe9JyImzImXTixOJRBXkRd2wQh7TFf+gNLPo4Tkcr3ZmBsXZxglZem
VgNyXUjiSQ5hUMVzpnrsXTusm8/ID6ver8KReURlwSyV7mW5ZKnnlIlTquzcwM0aTc5sJjW4Bz+J
Sjog5fkuKtOpWunAnzLlMskussbzFmNZySUxXbEQQcwg5A7xuYt9vwanJOel7MrrYCb4I+xE+nVM
TbbohpSChdUiOBe2646zZBo9+MZCXM7YpfUC9UHyznO4PCF2hPUDo/gwsRHcVUHpXO1Lk7mPMZPm
yoDiiKJ09icXWa4NVtg19msAbPCaJUPFVS2hDzWsaYxMWEJ285VKM3Th7CXJFWtcDSHWEHYyGupU
SrwkCzWBXajydKySCFs3fk09MUXN3JbvxhmcimqquLGRVzqRqrjSCZDKvp/IyjI6ycjlkztksBGB
9BblAHkARFqUJ0mtfOZoAmGsaovTEth8GeVzNqADvyu6hcY8fdfkrXdZu1kvZkG1mksxyxC1nViM
RI4hqD7UU35rR6SKinuHeREPEO9dWo6wiXlwVcfDTBWNHTBBCJRFG+luKFgEikaBlJ554qm0aYEh
eczB0gpWv8d9WS6bFOV8YUEUPJrmKRkWvakCE2rfFB+dlYE5LD2b3OZCd4lqQU/CqvJKoIhw9E/3
IKaR+gOytLgaDZI3pNT1anRuag5sCjZaQWZcK027bJ2xWqMlpLH+2ehyhxX1qiJQRCN8FOgB6GFQ
Ba6DVQa9MxrGmIFzgNMIIHLVdXvRyTEbwr6Ebai6dAaCbT1Icwzr0DkRaYuPCtn1wxIUOHQlqo6q
0Stuq7mYhMonmWjVYRFzNZReplc+1/iQd6N/WvcDUMikB3HqMC0lOow7kJ7BLfv5QZ/53bmhuskV
y9kIOPqQ5g1Tk+2n0Jp/MErtN6FXZzdcGNQpKlJ8BFmyf8Gz6gjLGamxrQ9KQubTKcnfJzMvox6S
r0VNx/3KsGI/rb0+IlgTNRJ+ZsAAzlIvlgvH+yYEjQtB3gD0o6sHkygn+nxh3QyJxZxmUWILq6Zh
RMucdul+1eLqYmR9eV66ro56DKyRlsp1MdzGseK4rnC68BzkIsJNQC6mjJ/RwDfLqi5WFgJbmAG/
1CYfzyveoQ+oKokBB5sFUdmZj1U82LBPCb8cuAQtucnc0q+mM5F40xgR3/JVzabgIBYxi4GfED2A
hwpQFMRteoRxPqq6S+W8QF1RnSayDg7noRtZWMdBHM7gvG+lEfutROZr45L8XA9Dr/qhCj7X3iAP
RULoJ9JyfSMhgIYCFsh2RQ0fYRaBDpfGib+Ab8y98xkqBCKcaDMB401Mc1V2PVqRNpaNGgOHr2iZ
eEdFXFk1BF6zEjwZ3jeizb/EFs1jSJDzvg5WVOYLzSENAgKQDmRZxRLN+12WjxI8KZmiPmUaHaS2
KW483HfHDifALIckgACWTRgBG2hcPi6LAdhknsngIsBMZkssW7u0/jhAjoMaGoQ2xXUMaSYwhSjf
xMxGNqmvaCPBUcmRjnkEHMkcNndup4epfe45m4dosmkMAvLkwaYYEJn9lV9CmrCsM1pNIakNy8NG
WGoVrTD/0osR3zZ+SuIIyqG5iyRIrAfBEEzBqmxHo0NaJUCiR1rwW6lpEaWg5ByZ0YynLptmESKU
ADG1OOPXXcn6WjHdphcgC9Sr3lJ6yXo0lAstEbjEWPIx0vGsXdg0pjYqLYXz99M0huQ8K6qBKD4Q
dGy7plkV/QDsqZdJ55a1N/XXvZtlD8ewQfT7//rorvMkD9LppijGQBaHWtX39dEd7017Mu6h6of2
gs3bCaGtdfOGXPFEIYVWJH/zqknsSxAoIQH5ppASODMGvhA8wua9PCADgqz6WPWDt4ZBqhTAK3XJ
piop2d9RSDGUHrelSiYZA8YGzZ8gfDCxqc49kSqJdXLqiTctXN+QYcVTP42mwfBezQn7qvM+AAdW
ioBGUzDMnZJ3YQffRSBPeOlCikxCVmb8+lPp4Pz76QCepVK4MuSatvC2G6Ac9EBMDOJfdxcLi7u4
GHtZ0Vz4XZp+9Jif6nfIsbG+aElVmCgFgQuySFaNg+oqHpMICjRdF2VJE0jVzzyHRGwAFqaCEqpU
D5TSgZQjwtqv9HnVa/wVZzVbZBMnkMTnNjhoN4yB5IlHTqHkMpQRTkbmQxKN2/xs7JrxGN3REH/D
SHDVjYd9D+J21Pn1EJ/GdySmkhD8L4G7f8qG2eH90UPAgFpBIEcbY+7UlCZpp+apY9kxGyg2UAfZ
0CoC2XEXQUxiWdjqDBiV9Eq+7O5YmSOdmMNxyNLszEBbzEKD2vSet4Yee4g6vZyNHIqVJ/WYH3ZT
YxMFDI7XiguGGuVMUBg1bXgm6XEOrgNtamqQckf9hpqOG5IqClMf404mF9OG3hrguX7XA+M1U17b
KA9Kf8GD0fSqtlyqgBXpR/g2UJAH3Z3HvifrA79ogHXPdwwcuAy7zB2klSfVHUfnhWWBAvkRuHvl
Zm9ajjUHYh9z5M8nrBedd6gFJHMhGmfmrTqQsD92ch7tvm10PJyA6OCC0L/LOORI/PNqmvAYpjI2
1bFEPciHQ1CARFoPDV6B6gi5jAHpODhALE+aI0hKIAmRnNph4VdjtSKT7PsI05rUCz0T+L2/S6AM
TdJ46fJ8KA6Qq41bJCWU4BeJaDgB79xMVyZJvGKVbRK1ZpOylQmUNrnuupvaxHg6hF0HGj66S/6G
Djht5OM6UEmH7IEuTK9VO4u5C5EHWRnoRjE/zDJE/2wCbKdVgq0sF8mkDegmAcjCoet0fUjHvhmA
c3b5MbzYGwSKVJwLUDXeG2OnKuzj1jvQFieHchxBSDe4bD7KKsOXQDfNlzlw/Cjw89VQk75VOdya
vIs7qMWqukh7cpV2GpQAjHLIki1q3Lu0ovNNmZTzyeCjbgwLWyf4rLMa1Iipzsm4INXcDKsZ6fIk
yIKuX02sBpUMZUP5uffm9gxq56iNuqBxTRSjIK9Dz6fsqnVJwxQiJW+V9CTtF3le+cesrxI/arRL
hQIxUOMjS8EnKKNLdtI12IIEltSuUDQr0y99UJNpIRyD3Y61N4fADIiM6haIOZzxjD94cxHvz2KA
4sFUVzdF41lVdEm61DGbPgYDmF1rMin2cduVn12hwW6awPRnoCZ3IWNlfVShYrgymmcJyOIF+IIi
mA5TeMHNOWiMwPhYQLOVHepyUaW4KFWGBlKuWtSy97jMzZFxo/7i5yQJFnPfF/FFPqVQTxYUcrv9
wEHhFvLz5M+p8VqnskSCpDkjbGF7FO1VyhE9AIbAUihAV7WnQEWnisWCFzeNn3SHtJsDCqUSOX+A
akh13Q71ECyHgk56P4GIAxIEZBlAesdhwQY9niZt7R3E0FKSqUHXxfiuGdMYpFsg4SxKgD4Y0E7L
Fog8iZvDgTeF3Z8ctMYqM6Mmi3J49ysIqzHs1dBHrfk4ZE6cAeuow+C/2DuzJbdxZWs/Ef8gAQIE
b0lJVM3lctnl8g3DQ5kgOIIThqf/l9x99m4r2t1xdH0udsSOrm6JAplA5lpfJmFVfY6qMuk/CDUH
4c5YBEqWQnrblcHA2A6ANBffusDRrMWmX7DJ4PGUL74Owq/L2kZ7QQYFPaOZDukq9U7O0DmwhXcU
RVeNr4yrWh/hjUBAmzEFAtt+Uy3X2rm0fx7sSuM8ike/32JdPnUugMbtmpNITEyy7XsW1Wbfxkq9
C9cyieGJEaRH4Nfi4Cb2RH3hWzlsx6oO1+YupqXPRYUtJ1cR7fYjqUOe+XVaH8u6qZ5RivTtbqts
tGQzrdNhFzGNJzFlfaAy6PTmQ+o8ZCJWR3WZzVj5GvJyzN+1VgckhwHR6bxe+3HccXfK0wiT41Ot
SYADwCdQA5H4cp1L5Pvkqgb802Ipar4HWNGkeZTU9qZZ6vCIh9kHkMPhHFo7jHW+IT+YjySop/Kw
aJYe+1bV37lN9Uu/TsO7YFvqLrO69t+aOGiBDKB7EHKUWsWww1csXb6tyl9Ffdw0x5m1sAnq2mmX
d9yTOBPitAg9WbPQNJ16nBvvkCBMlH4RGlVULvp+fHaQC+6GcDTxjje2mVHvQZtKV4xbybak6u4t
H+onKuT20TgULo2rUnoIA/idqgsFPAgBe+iuSb173nwopp1RqPGzqoFuc7QcLEBiYnfsaBXdl0ZC
JRkCA8l+8A1cqN5UftgJSONZVFtZPsRItt0xXtWYPjrop1sWmETeQQJMXzlz7J0iwY2mqrZZsnRP
a5eiwlJ+kbsSRV5BscntymoLjqpG+Q/97Ksa2y2vR+yZJJwb+plN0GKheXjxstQr/QGluISlZocv
kPojmcPAbK5Ca5oMe8yp/qnUexerFQjVqqqdmzqVb5bUT4Huk+tIY+RfsVEIL13F5a6FvZONUVXV
uS6dhLwELwi0iiR5ohl0y6T014H25ZSFFSrKuIXS/llGS3XLt8bk4HP80XbhCt8whY4oRwNPt8VF
F6oajMjgWS/FIitzE0hTxXnIzbLvk9ol+0jVyf2mg+kbBJDqe2y4fJWzew4iHKwZUVVc58k2DYfa
jjGsBx56pB7JCIUAexHqYurJdhX3C/+qAzmGRdS3JLjelLqKYpQvZCrFu5j4LmNNHT23EN4/s0jO
wz1VevsBxrQ3yA0a0j3wRcLdkMoEkO2Ib+A/irGDP2KGCMVyY79WpEq/m7ivt48DXJEaZFI0fNcY
wzu9MyXazPYnpgz8Tge15bZOIyxjVaWry+KtHL/Tqt000hsit6sSeijH6dwQiJXR0KXXfU+39zoU
qBPrJoCMlc4DvRos7/wTnfTTNo/NcM0mvbmMpsa9cwmFGUC9vIOKWh9r5uYwl3ZaikniyFrapYMq
EUs75CimESZIxJfH2k/yqhOVuO5VUB/L1NAHgDYSntlihj008BXC8dju07CtcJYjB/k+QTP7wPpE
7tfEkF0yQAHBxis+BkFfOohnoViuRN/y/ovrl3QssNGmz65W8fd103TMqnjqH9Z01h9XCyFbQeKP
rmnj2tuZDEmbt7qKXgjGWXzkyNXu54VVRdpuFSSxbuJdwToet/uQWAoZbRx1Tpsx/oYDst3hyBJN
DtOZvizl/IVMupS53doW7Bhpxh8Q6/RLVLMxyKJUJkHOyhUJR1C7/qOu1urZDA2EBsEF8Cjki++N
bi0TeJI1+eRNrPNU+9Z8W+Kuz+Igxm5c1nuLnPxLZD3PVyffq4ZEVwGh2PkXC2DyWoMJ4cfQR5u/
beAxuAPe4rKq+3rYKNmlJkhUFsQwX48EtqA/4P91Cfa8ZJN5GAFfOtR6HQ9zoqm9WVFZP896hi9Y
k4q8r1UT1TsS4yiXrhmfJjdXT3j2/dFv0HCzRuCY3/V+XR9rUcd5OtPxJmxneiABsoK6jd/AVUEs
Gk/Cm5yEYlezgvvw0ulRQo0mYymzbpyQEXoaRncj1etjbCzUVDVmdl3rvebSXoddOuxpyOd8m7fP
zWpqfVhn2Cu5bJMpzahk7F7bdHkyQemLipD604i1vep7OzU55X0zHOsgDfiu6eK63odc0gY2ShC8
ygWS4bUKRsAIK6C8D4ZuPNz1Co2eeTdtcHBbkdisxEF7X8Wn4mxI5mbA6Z3a97WzZXsY6lThFjL/
SmtpPhNcBd8pI8MoF1jvcRfTcS5iOtnPmlTwcuqoiR9qCQcbCS52WAU47ODWCdgbHexbV2p34C5p
r6YImt4RdEN8h6JBlNdajeSrGka6ayOUMzskGZBfpE/hXvvG2s+WnDgY0gMMxV0s912rIaukuGML
aAnaqD2CGYCa8c32FeHLb+emhe8roxCn+xb31bGUsh13m2wPJtQJzaDfdw8kRDK0L3VYR9dzKkt+
QEUc0l1VBwpVFcobnqPI9QUYV/KZLTjAcr+sqF8hhsUnA7blDQqllLsPUzlH8TFYaKoO9dzL75ue
2NUm1+i1Axy3myWbjs2Ibd4TaJgZg+5ZTKBB91MPsKljolJAN6EO5w4W0QBXis+f40CXDxUYz4JH
k/wIUbEVu8qNsjmUquXv/LQM87UeCKSxOS059NKq53v43eCMVgMmNttIhbyGSeiXYhSpzKulTr/X
KRXv6Vx9kGk6tRlTHJ5ND8++G31ygLwbFqIJxbWbIwNxWvdXo63Hx2QDxDlOnE97nM1tu3f1Oj9N
pYHIPa2J29V9PX9Ti+TLISXpMh2TpW9PJfvyfVz89gAeaYCrBdq3ydhQVTikrQu/xIsJdy3uww/I
z/4JSNWCzL7mt2BBOFyYKs46WZq7YfM3VZLComgZqMFcd9uxifm3eUXC0/AqgcPRg+WRqJKIDotZ
tch4N05fvJff8bjBgOwgN668/t5udXc1l7TbtbXAeitkyCCl7uMuGK87NuOCtmF8FDiGD/UyVZ+R
U3RDhs2Pv4+bLyFhbA+6iSHR7+mudqzfR/HArpo+HN+X4xIWk4APg41zNwwzLaK6T76vADWOZTjF
V3Rsjr4XsAH52qjdaMf+oLqJvp+iyN3AFQm/plPc30A3NF+gG0LHLBvYGOniQntsm4FXe2yS5ptf
+WoAnEUazAET10ujkXRpgt+ebybQX1jDhdt7rtmtWynIX4ucvoFwXCg1muMI/xWPydg8GkHdPca0
siljpnW3BshYClF28W9OzY2CYNTDLY478ezw0pVbR0aV87mPURO3EIrHJtwRZPJvbWCnYlr0z8Pk
k04BhWV+YOvdzLGJLlwNKh8pY2XRDWl1BFJT6FY0RQ9oLYugBUND5uPyAemuBkADvju3P2sO+HY7
PbPmh6Ayhas0+Ce4T/41aiv+1A9A77JQqjnXJHZz1odrlNcM2yWUm4IN7ZUhgFtlG/GHtYkj/CAr
gpywoUeyE3Txga4Qp6tkYbdbi/p0TWL9yUzhTRI5GK4hS9hTm8bLUXeTfdeGMG5sKDuRN33zSbc0
/FSG3bhr12m6h5Qd7UGsk8PIYCW1s9mNfRzlyGjYo9SM71lS19djSDJN3XqkNrmHeWPyWCfxjWMk
QiKVetgNVIPmWBhq5K0Gh1EF+w2H8YGnIdI7XnW32KjUHiEjXvpAQ5avJq3znpI6g9/yDEYq3Yo6
3Owz53Y+mHmAmK3TlT2IKhGADBR3d6YNzB47rssG2rcHt1T62vtqJDc2UuOyh5oGa1fOr4ES4TPj
eglQq/j5g99SZHtVQ1+0VWGRdE2Iu+rD48hx/6e+WvbJDODvWluDNMRIs9swKRh5jm+Sr7ZvvwBm
qHM7RNALFt+9bS4pC+wPw5P2xiAdKoP7lmqgWKV5WRQO1jXqegCDchwKZtkGgd0+yaFN7kdWdhEQ
yC1YslSivMlKw+obUHH9VRJO4i1c6GNQIu2e4SMgISvdI48d39tgcXk0t0F2Ek4UTPhCWrVcceuh
TbnB84+cdOyVNUEezsAVt2qtbxK9jIVDvQGvCYktMAzmvvq6pR/AVIU/zLQGqAdS9rj6ulCc+eV+
DOCS3MltlMipA3nsfPtNs4jM+4DO9ojU2/2QQnWPzczIEdyF3k9ht7h3YVOCMXDAYMUSlZlzM4B9
61lFkA4noIkaVcPPESha3oW0g9fL+giH3h+U7P/ZCv9iK2DAO8Dn+PSqtd9bC7+Od/srff2f//hP
fwETlUFSQ4UWNMFIbI52lz+6ivC6KpwbMAoSJOwwGU5/+ZPAJjEaZUmETnXMYWYJP2Hg/+MvJGg4
wvRNgdGn+E9BZ/9v/AW8t+HcXjh1qoDoJgIjC/B9Z902Yam2Bv+zB5jnkhxsNE+5mRWhOSQdT+DW
+RPl0CDbhmBVOvisybj6XWzBsWYLX+Lc4N0Et72JGujSw4hOi7LTtyxJ2vfgDoJnFpXyqrLD9si7
Xt5MXRJWh4klXQFdO90nOB0z0GtIo6jwMk9dK6CKSyqPpeXtR18hq8jLthc3FfSQbSfBu+eRKd07
boeOZJM/gYQOFMSxxcAukZENQvlaT9ONFGmP44SF5OCGdW1wfp+A2aR1AaxqYjQqDXfqDWl9+L5k
dfuJWlu9hxrd7/BOK/VVixPU0uquzVyw+a/VkLLPVsZJtiwYlGOImfI0aq6YIuAmJxiM+aCihmCf
KgENz3P7MHokrX2A1emJvanCZdxHHSSDmk7kEKF4zOO1Hnd+4NFXUQvQU/2woktpEXVzqyVvvhqe
eps1VZt+r4ag+kC4ohLEGwgVMOoBiXYV2frdwkJs67SBqgtaNVOqItcKNyBfmwFgGFfbjR2mj67u
y3KXEFvDfp3hp7aqD4fcW93vJTZqukOpktyBQVVf6j7u3kJknGkxbQ6loYY+iVaY1M23Po3mbGRz
QLOu86B60m2pLKjRE0ARUMhAhJvqbhEmvbZpP0KuKOcl79bWhRm39aCBFhCeT8EgP3VthySbhkQe
6XwqQR3tt10zGfTKQGCEXeUYzpdsKKf0ZpApumdaGa7fx6k3oOrJYI8gmdIC6KBjOKI4cOBxRY6b
UAG4tsVj/WHB6wQeGxTbtyVf52fZy+FLFVIJpnbpdXqzVHgU80TYEZAwc68oE4Zox8ADQi5S0/g5
Wpd+PHGDrEE61U/vIzTrPcZxFJQ7P5r0VjXD/NiBboSk3suI5KkV0zvBe/txjoMOaE0XBm/rqCDF
CiDDn+Kk6b5yzYdCWIe/DyQ1zzMUDrCMSydsNi1KuqMhwBGyLZD9DQ7FDFwVMUWwWA0E2JiPKTfj
E1sGf0Wj/hS3jT4mQgZbHo+gczMMkQt3umJW5yUYv68Vguv0n5aAzuKpbdFXBZJpgj7NxdXGav7Y
BizoMuidNnyptAs/cTxybh/qAQUSSvqT+gbnqKAOEJ2gOqyAjU+oDBItqqOfJXDwkr+VLfGvprL7
CNwa7Qz9BnFc1HnYqOkrS/DK1jyOYvtqN9Xv9CptXgWzebZmHW+loOWxYTG57gEp9xmrFvw5qdu9
RufCi5+h2OyqeYn3RJgBYMIyXCehhy1KHR/z3iHHbhzwgsyK8uicLHDdfj/odkSqbEmGToGpWPUE
np8k5ceUqA44GU1SiKUpz4NonUnmlgkqiqk6SOG+h58U+xplcWdsN+xJ2cDfIlLXb2od5QefSIkE
JGqqvV4oaSFdEPMpQKBEB41KEByW1utrR5WcECJLAA2i9ght3zH9OIJ7cgeoH8jQARHbXQR0OQNM
jY1lRd5/r/VJvnX9MFwt3Tx/msOkBA7Zf2+6TUHIAJC/h57Db2TaSCj5a8BI5lP9IVyIuvOCeNBI
0m4vcVlNtxRl8mu0JQqdEqxDgkQCNuOBLZEld0mHNE1DA/8296I9Vt3yLdR1DJ6034ZrHCXslGe3
+nscVPBSgmmFzN4vxtzV61qhX5NVju3mSCE/D+ZVyDw2ahAZfidPjmvaSpHNqororgnT+c3FyFNz
A6hp8CNOmXjrjlM36euS1/1Dh5WC5jAyX+860zZLQWBgyuPQLQSwHwcE0/kT3qXQQ1IDVeUMehzo
rRW/PoyBz4eT/mGNE9dwKMkummHWgau02JzStn/fBwi32aNg3KHHUL/WwJ5i6FpCvFvGiXx0yQBJ
guuG3IZyIB/SadOfkkGJa6HaCspQsgRooRgr+jAuon+Am5180C5psNyK4/FJZvhBBzdGTbeb6+0O
xNOpl9DG1Ud4jSGaLock+hFqjFq4wRVKij4LhiYDKZx4XawIBxxQaKlA3LLuCO+IYWMwjD9jb5pu
ty5V92CXyeH0GmA0cBLJchtMaAptgzqQeetbNC3C/LhVrkxenALU3A62e2hUGqJBRo9Zaob6kYi4
hxQTRY8KO1IeDRIyZBU2H8aUjrvIra8jupOfYYDGj03rCNqSFD1q1oXPOhyCN6IGiwagiqy7kUKS
VaGCjCjruHyGzgufdKifhyEMHkGdl7vG9fAwN6max0CRKIc2Nay5cT0Kfpx3Xu7rsO9dtmDZZO4S
FYNfawUandCrQccvtQD0boe1YoctadAO7QcD1zZNrpYKqcPWGv+tlRAA4YGqKe9hnD4MvJ1vu3FL
9qPh9WdU+q/dWPnCrqktSjhBqLG6+ku5OgiqwoAiSExfBJr5I9tkf9CBETzHy3yDfW806MhV0j4n
80ymu4R13edWbr49yfhW7EP0kbSHfgrjq7YasbnMVMRXq6yXZxQ7w7EPJnmXNuEEOBHdUuCxVJ01
w8+qI0YHDjagfIBK9MxwtLyDS4QGqdkY1AayEYDtQjN/8ZEyd2KmpdpjR5BX21BC5YMB+h54wfgY
rQD4USOx5DasNv4ebK/TeRs3oCJmSgolrLh3sFWWm34uQ7AaoWzvuEraL6NLy9cVBvzTkkTpjwkV
b4JTGakEGpBGRvcgMhYwwm4KIBNUa98+1jZG4cwobnEWdaY8TjNQMoBsg3sBwwXTo3HjY4P2jSWL
IdnWGZ0jCssPSTMoiEp+hK8opwOgxSG4t2ySN3Gl/G5mpiwLKtFwlasaDOtVWiYzyCyn+MsWICLR
QLQ9JZXWxdJ00QMaeQlaLti8AFkHe35EJ0tV8K5dXuFGDu/QfhGkO4Ky7nqFT3zDJazvzFeduk0c
dbcTlIsNZHqwvkMCCydLw6j+BB9nqjL4uOi1gudCn0Nl9QslanxMZ9Xs0bbn7wW4XfTWsDgGbqAn
3NEJXCd4xQ7NDnGMjp5FEncfoJn2Oh176EY+tVs+mSVA6ZzwbyAGF7QfTbH7sqB9yOVz1wf72I3b
V0VaJQ4pndeDaWR6VKs377ZmidY/fqWOEzT2xnp7TbfkmaoF+CVU3RcEJ5qqdN1D4DKQz6XuPrCm
fWrRS76zbTXfpp2MEbMlXO4GqnKBbr60ygM3LjtIC7jxJYTPlzGacIKUo6kadMdBW8sSgs4eBfji
No2G4SkdBv60dXy8Q/ECy6Jy7SdwFaD8eTeLb43zsvBNAGPfoun4HjIPLMC5XexnUbvQXQ+Wbu7Y
pOiHupY9iVogNJU7LlCPvpVtNRVlH3IcVz89xmpMxiEjk0jve/TbHCOcXG9BNPO3Ck0x6x7DA2BV
rj9tS97hXmdsozUpyJDWH7Z0JodgaCF7n9zOMO1KethOHig5uaFRk8qnxJH2vt9W/+hrurzBhcHh
O5VoEMLCD8ghqvLJSTd/tSebNTkZrpPZbiJ9Ujplt/Evcqi13ZtYSLoPyzRBnzh3gDOhCj+IJjG7
0FRoNpc/jd25ZTB5w5+G73ryfu2m0ZU166FTwPQJw9iDCI1cq15m+Iv1ZDIdhuM3yMbL0YBBvRtW
OMtgp/XLlEIBnU++cwut8OMWhc7n1tkKUOQ6L4fIWLTMdECwroL0ZF03vQZJ+tPPnigoZubQxgcU
AoY3fLL1Flp/NxbQFheQZNGsblES1Ec+GXIcbaibbEEn2z462edoF4STLn+66nTsIOqpknk0HiYB
bh2HhN116oQsW+RyO1JGwyO0GH9c21PjhKOrKlg4q6P4w8UPIvJU4ck8moj3X8Xgu8+nKnvBN9Cu
3YFSD96HJySga6PppbHaXTUnWCCEBOVydkIIxmhm+MuGtgUTkOFmDt14Cy2yRdMhlRABh3ZQaO4D
l3IkS109kKHDT2jQChsjHgArrGn3Y1ooB2LXdoWZWrS6AYuDKwAeJ588YzeVtNEGQAXEg2Jl+mSJ
8mgohFkPzmDlzQ1cVCQk8LXm6xntImTHfQxNEYzYeEQzSwhmoK8DlKYSlEVL6o4dp2XGrUEaDwPJ
3WzMTNcLTqQvdcMtz/u6nMvMEoLeyz4CVb2Ty1JugBgWe/BmUZgJMgMBziaVbKjZAMTbIAb2ekJP
pmYDVyTAjnlru+WURnbjPlnlJHIYHfUVoJH5zVbNcFfBuSBZUJXpO423rX3o2KmmWARrd0rgFM9D
EU0P8Yqek44v5ZGEW3/cmgSIGTw/faj6zn6MCSfQChUfrgK9lZ+XSdQwWNCCfdensSZXdJp89ZKs
Fl7Olhi0pvwfI/tzvs4fYta3Ye2XyT29VfXwn7fsnVjXKIKq9HsZ65ehQ//59/9QrtIEbxKB7ozX
FhOMA2D0P7MDuMD4fvwjTLHEX0l4+sufyhVN/l+IMbEs5QBqKV4y9t/ZAZiUw8OY4t3TBLNRMEWW
/G+Uq187+CFqxAmoWBCxv+KwKak3PqP/Yb8wiQj23rkXKEIWY/r+swx/jpz467id3318+OvHI2NF
q7jtk72c9DQ9GY7s6LmyfvhjpgWGSGCE0d98/ona/e8Agv+5fKh/v35+2vlGrE3J0VDGZv9ujLo0
REuwYlEGERFqFpo3l/JwyY9h6Zm2N+MeKXMyCS1yT5qJkFan6SRc4BXq/7RYUCP/9sec/vlf0OQk
1SDSwDTu12iM76LIxMAxQjSE3jqx9LYIEg+svnN6fPrnL/z7u4OH7NcvHEWI5P30hVubJvZ6QIft
msczkup/GePz67Sl/96es2EpArp6COKf7U0zJ+aaA1gm+djMRN6yRipyF60NZEQ9694BRGjjSB/C
Xm7T8aIfyM9WtJ0oj9DCkhRIq01RLRFO4IqK6vs/f3x0eoz/7vE7Lexf7hhcTQz7mR3k0apC96ZA
63hCI8AfVAOK0pUBCru6JLgdDCZHQBQYBtFj8xek+5e5NL+7hafpT3+5grZCo2LLDFYYKkJOp+FH
wkx92fKdXo301w+HgM2NcAvbwzNJPoWDQwM0QLqHf16931362dbTClXzmU5sjybh+i0cQGv3QY3a
87KPP9t6gM6xUQMF2bdLghzU6BiNxD65aGNj57NWptaocSSa7Zch8GhXssE27fg4DMlll3+aRfjX
tSe2ioRrFTYbzMNQuYMBiaoDWU+6++f1+c3WmZzFZpduhimQz0XXzqBLk67T60eqofFcYy5KmrzD
yDXKr/75y35zr8VZIBKwz/0AJbqA05zwxxlv6Vw+dssS/Ljs8892slmEK4gUJgo/RN3eVTEGhEGR
h/nyz59/WpS/CXRxtljp0MQoGlxZDIHw3cFM0bjtW+MgiOhaxumFX3Navr9EM42HUmCESVLADiHL
Efl9H+59H7V2P9aLsZfFtaC/fo0eNl1S24liJI1/biYnH/oEDaKXrdXZrmFABkQGqQ64AFvv23lK
6G0Vo1P9pWGisf+yVL97os52DynQcSmSURRTG2MsRefDh7SKAOT884/43cef7x4lSmgsDi/WRKO9
FOJE/Mr9MO4v+vjkLG9Zt2RIMH+DF1uLO7C0VbeP1yAZL7v65GzzWGvaYyCMEkU8bw3uAXqeAlgK
rvYXfsFZPDcYeKBTi9VPo+5EOEVoP9mjMvLm8bIFOgvohDioWYHlRQq3/mOCAXKPtoZ3cuH1nwVa
ArYbPWwsKUYaL/Vx8dSil6XpTHhZiMFW/iWSLUQIjiklSdHM1RhfzR3ZBJSOePq3s/l0K/9mR0rI
r1/gKlWFGFcoCrDTIxrFKnSzPnaYwMKvq6XsIKBVxPWf2k7Qz2tfmf5fdvLf5TzJWeC1Fh0RgzfY
ClvRjtcymMsEhQM0HvTGLUbFS9YvQBjzWvKxOzTWV8mOx4YO76EZ8PXCBT4LUFfyIBFNAA4qCdYd
rU1SiKSl//J8nKae/t3y8rMAZZAl0bmg04KGfhr2PsIgxz0rvW+P0O8T91DN3fBjDGLTHWO0JUN/
o5T0dyQRQn0CX83Yv1zKb3YijIj75UlCuxMbB1PHxZiUM825T99Ga8FTXhRo/CzQVkxaEvC24wK9
LeKV4fi5n8Ogu2yf42fnpqYVcO8gSQvWopLJ10h0PgNL4OZ/eQx+Ewb8LJAxRQS8l51EsTig8Fci
nqYQzUcRQkISCaunR+c1vFfPx+ob9LOZXLhuZwFOTQ/sjky84KLs1mwENQhdeo2DC7dYfhbgHuyA
XjmmO6ygnPboqKl2ng/B7rLbfhbFmNMX9kpj/ugMg7HwPchwPo3qXzaJ3z2zZ8HJ0dUeWOSShYLy
hsl1kdoBlSSXPVTsLDZRlgwiquGdE9SNoBajlx6k/2X3lZ2FW8SBGkLFBzeeuOUO2FiI81PLSF34
+Wcnp1TrMtLJ+SIou/SKbLbZlXCyiotuKzuLZjpubFzgDBRLCanUUIiZcxfVF177WTSLHp1AW4Lb
GizkNNtpRSdaA1X3sms/C2UVBlNoytkXOqrbw5z2GN/EYn/4508/XePfnJfsLF77kknvI3BKJmBv
qAub7YBRWmNfLCbhF/6Cs5ClW7L1qilNQRG4T+mC3j9wzc1l9TI7C1nAMjQ2nhsMSGT8Cq82WnfK
9RduN+wsZDHnpS2FV2tRzW18U7cYSIwZnZdd+vkQZ5ykZQMfYSn0oMoonxjaQBJpG3nZbhafBS0r
MZAk8NBhxr62182CNqi1xEiTf350frObxWchC3002KJVLQc0Cpv5PTWhaB/YJLi87LmJz6IWfTWb
rja0/tpq9Zi9zV5dCl71sqs/C1qmgiYWotz2Gv49POIV1HQKb+yyTz8LWjqqmJRKbFj54HUiSMB6
QC8X3tazmG1GPwXBzP+89JhoAteRX3rp59HKRAmUJtr2qYFojJnT6Am+fGHOorUJt7FsZ3y6Vegc
WUWzZuh+Uhcu+1m0ypiJIYQ1tLcxeQNK1B6qurpQejq9S/CvKgSmCrSiBvawT/3aFWDgJ5RG3F6W
G5xeC/DXT7dgwsrWNZhYsJQmg81HMAAHQ+kveh7pWax2ciT9QMN1j4FufWZk/QbzN7ps1elZnM7o
GRoHaVaMX5SYqxqz12AD1XbZlZ/FaVgyeMUyAPOvw3432/rLvPr5wg8/C1M9p1YhE/7/nJ1Zj524
2rZ/ERIeMHDKYi1qTiVVGU9QJ91hMmAMBsyv/+7V0iel/HZ2JJ+29qaIl2083M91mTOqlVAsgIrf
zGgAM/1e3RmnMWsDFH4BPB2nhjyCZcyegdKVd35Pp06HMRz1a3hycRANPhAqf0SUI8SWzJ59xhmq
FLWCPQpB1gKg6UFnAVNRoTa6/PB7f2esolieauTD8GUtZwkG6ExyVATZs9fTqTNYjS4VQzrQFEvK
vpGWvp85e+/3aHekgmDYWxssRVMHT5gev1oae56vUWecpg0qIckQLwUKI5Pc1NHr2CHV6vfizjgd
OhC6rw6FImiWBoHs+CFGSZtfZ3cFALi+3dSM4qfzIPe/G4sC4qiHnu5/XQD+ZqFBnVEKvGsV4Htt
gWIjwNIcdK5FZgGX85t6/3Vt/HK8vFYAkXYcldpQ+oVfODLsTTY3B/FbaVBnoJoJFG1ZjgZFTPrI
xz3+Xjeq9Gx2Z5CWCDjEK9CbRWQ1uA09irXm7k83r79reGeIpoPgjQr6pYClJkUCsCKPMijVZ6+f
lThDlC500cDboDvWqHBGcPtLnDR+PylxxujBgX0s684UGnmsjCT7Vzklz37v7YxRvvF9axieHbTz
KyqoHiM+P/o92hmhIyKI1cJQ4BaWQXAK2vKhOULP8wHifEkJUSo+AqRKoXd9B4jV10Rb6Te1EGeI
BjXW6XpEm8h6eD+ivhVQX7+Z/Jo0+XVhxNVm2Y5D7/N4rDfIgt3zyO8L6uoZlI0WMSrs7ZDce0jG
vQD/1+8e9N/z01+mlAZxwxpI9+CsetQzGpTRfPLrIc6QlNcSkaPDj8jr7rve0/fJIfzmqdAZjwbU
kh2+g6Wwc0teD7sgumvYnHu9uFsBxgYUNbdNuhRzgLt+OnQ3aZl+8Xu2MyI72cxRTMLgjNJ65AhC
8RdwTZ4ftiuf79f+h449gQOLT3LdiD0DxDzIU8ig/AZO6AxKgHXjhUdrcJ7EC8ijCZIYfm3ijMi6
qicwY+xy9T4AeY56p4xM4tXv4c6Y3HBBbu1QzmdAO282ict3AHUWz57ifC+1MWEXSDw8kdEzM+pH
w8G29Xtx53MJVY0NJ5B5z7pnzxGevZvV99nO0CRbA84+MFEFkrcAcwK/AC/TLrxaBQDFt92wniGi
wHoWHSU6wKcK249S1F4LLBge3z57Tw3fUI20wNRil/YU8lKMOcUKqPGaWnjqDFC19bxE3mgpUH/x
V7Ctn3H58NHnF+VuWGtlwP0IhnZBSVCE8q4Ogf8E2gi/pzvDU9drjPPoHS++789mDO+Ql/Ybofya
Yfx1YmlRocrjms3gYrBHicAhGJox9WxxZ4SaSiMbadalCJW8lnXAF1N7LVKgsn773hpaGws68lxQ
GtHT1hMgKXj706/BnQFqcaMwJ/0yIwEgvlYzGHxx9OL3aGd8ImJediiq0YUl8lqbFE+XAQgdr2UK
aqfftsoYbUO6Il9T4ArpAO9nfIrBuveatnAu+fbhRtEZxXabLqB2QJHwbHRwH6yh/eDVMm4MaQsY
ZkVu8Iuu9u8ZK7h9Tr77Pdr5ei748NQKeXzE+qsPu1K3Yd/79UM3fLSWSSdayXVxrBO0gltF80AO
P/ze2xmczcHLWYNmV6S1OnXcPvXJn5ad17nj/165cDdmtAU4D15VrAuUb0QGMFzRPk4CCMWtBYb3
5Pf+ziCNumEHzynShWwYCsb450B1r36PdobojkiiFHGpMf7X+WadAewm8EsUfk93RilMAlGjGcWL
c/K5X4Mr5kt98nq2Gy+q90l1OqznIqINcO0HQwkexJay7vw+0m7AiNcVYIaJRJfcAxTJALU6+e3F
eex8QmUTTdgw49GlTd8vYfOuZMLrGur/sJ9h9AJKYbW6YGVPC9Bil/ek2hqvKC53A5U0XsNoBTOn
KMPjWts0FYx7JroQ1n87MfZ7iQJ1lPMVw6rCLFzjy7RVfqfD3A0rLZobkIzR5Jge71dL72W0+40h
N6aUwrxn2gnFZjHwWjCm2vsUoF+/r4UbRUrRS8KddrogoGEwMj3ocPF8b2d06ga3EwIIqGIWyeeG
6Peym7w2cdyNFpU77ztUsOpCoGWyFCnxbLIgIXkNfTcutIAvGbRjOuHepp5OmnbvTZD6LUHdOH0Y
Yp81ROFUVA1DGd2Gg4qzCQPh2TDOJ7RtU8TGWotxk1oYs4wQH2QTHn6/qBtFWttIlAjDTcWRagpi
EX/Cl9Tv9py7MSQTDJAw7CO6y5jyEGySxEJfnyUpai/9flf2dgJAfjZMq31A2wNSEYNRhdhOWfLJ
7x6Bu3Ej28FFq/tSFUkwdxPqMVX/06Tx5rdp/Bfx/+smgABcxzd4NEAJtXMOACwQYiD7Xfxaxxmu
cQxbWLiGqgBXkAL0iuA3WJie86MbOFokqkhmNqhi5jBEwuREu786uwOg4vX2buZobzRqP+HXKsYa
+ELgij+CM+f3zYvczykdtx7mNrQ73FM3YLUCYybH+sbvzZ0huzLg5ZXcVHGtSv0cjmV1w+MEBCK/
xzu7UoZ5MqIWPytUVdN8gTQKpddRCa+j5x9wPqu4jOvGQa1oeTZvt1onH+tJ+p3NczdyBBgNTDQg
nhQxX16aan6/dcuLX8PQt7MBwFGwrwCUW8RD+m0YgYqpgXD3bBRn3TvhyDwJDCqUoWRKvsW4VLgx
gKJ4dhlnqC5hsNsD4tYCIzXNBKIvWWCD2G936iaNtA1wRw/CZRGtqA2PiLrrhj+lmOLrK/7HhsaN
GU3NjngdkO7FKmCky3Bb3GKyQZ038C19WnU3vbLbi+lnectmFgjAp4ErfEWJWzw9c1iU9Esa9+Km
w73keNN2A1jMsQTV/KnaoTTaMmiSJ/1xAzLdnEI7Dd1fI7QMADliYQnSSoSz9jNwYbsB7xWnZCeB
W+r91kxB0hY0BkjrthxbFGqTEKcJXwIke+2FwEMc5yze8cwNWoTjUk0piEIhaELmAu/UDibE2rPh
2x5zXj4vHCq+7zPg71OBgmsAEPWOf28OCGl0hg0gSk4DVNaAFti4MjcVGav0QcCqh1eeDvpCk3QD
OlXoW9XM+ijCMU3sZevlyvNV8yo6oyCZ4wgbdA9+qqQCGTRc09SeEt0AjtCPjSb30Aev0Q2DT1s9
wn4CuGPEuvX2OIL+CbK+kOc8XFGH3Za6PF4kzCex3yrETb9MQ7Mg356ORYrDtiyi7UN9AMTlNW7d
8As4AyTiCeiLdlRln4M60hY7KLqeqz83qtbvHMXxBj5sEdUjjqwCAGQAIvV6eTemxnhpsQqWwICK
HpLv7qWMG79G585Ev+IaaZcwNheRKQvIXe7KiPidbHJnio/WK4IBx18FBaIZ/PAU+DGgzz3bxFmW
aYi2RYcbR2CmQQzeu+mnaLXfipU7k3yL2tx1iMOxMNaoJ5R/NTcjW3q/eZg7s3wtYIUYQEouQCTg
DxyLb9QVmOWrX19xZnndV+u6qnUsuqQynzQ0CriJGJLFr9ndmBeBm+SAgFQVgLhG+5nOgzmyOIig
avF6fzfqtUB0Vgb1ApIclz+hyb6Lgtmv5IIzp7MrswF5BQxWUYcpcmTLHO/yBPo1/en37k6PX6Pp
YKuhqpDT1eIZjxPDHXtCqV8WgzOn029qkCTcwQMGph3WkXhrz03TeC4QmNPtVbyV7VHhE447GmAQ
DREnFWyh37HblbXw6z5kC1HLHDXDiEpUKe8EW6+ArOkqcPdrfKfjz+1QIcg0YiYbTAzuDgu/YU9r
/Y6C3bQXGH/T0c9Yr+Ioa4f3pjRFHC6xX6enydu2oWC8pc11gm+b/krHmqrMwP/pN2bdyBfRZIfU
KRmLwA7snxpp83+O3oCW4tXwV5Xdrz9sRNnQAn+mikjEK0Av6QBKTrlt0R/uDn9T+AYs3Ns/gHpQ
cJtkMhQAwDH9qrpmHU+wA1GVb/MYvKIi7CkIUtnmWMVBaAMDhxSXGlay0fPXdwY2CmlFaFqsPzc7
1ckJXgQAKPp6UNJvG+0GxETIDuxZrjNTCVTyfQ+hS1zAk7OEnj+SM7YPsIVQkkqHgjECDui+tRvP
WlCyPNco1BneYj56PVD8AWsoYsuH+Yz0/g+/HuYMbYhN7JIaOIaBSZ1Pe8V+Hgs4bF4Pd0Ni1XQA
pNiB4ou17UXS7o7S2e8IwM2I9UEQVhsIIsXCocPqAo6rhu344PfezvnCUktdkW0dCvhNkrOpQeXv
I8CI/J7uDOotBp9nwC9aNHoPvvctmKc6wOfG7+nOiJ5bPkC5SPoCy5UnUJ3uIYT5A8vlOiT/Y6vo
5sQqYLy40ONQzDut74jUsGk34+b3EXOjYlsnmmTtWF+wLhmrrE2S6a6OzVB7NrszTHm6j9CkhH0R
RwPkXWkCVQSxnj3dGaIaflrQr5oBbpB6e5hhiIWnt13f/+/f9Prb/VfDO4M03Tq7bgTfd3nwCavm
cK7SswwB1DsLbIwGvzVW6LQQ8BwlRBVaFoeOv2Oj/tjH9ef//S/4TddxkUx8BbY5QjkWKgTHss2m
2az/bAxYUb/HOw3UYK081OUgi1Ql5TczzckND+bV6wsCAvrbj+RIW7MfGi9fVjX2+ITCcQSMnFe/
BPvq7dNTcYBHPeOwg2wLsfnQ4PL31A5Du3ptFpmb30mgFFdYRsiC1ALi4yoMn0cUT33waXrmRnis
aLAj36YgrwgA7ndtSMInSlVkvN6eu8HGxArYlFk1FqFhAL+hFwEY3AUhXH4+/wDuZhv7oJmnNW0w
YUb0xSzhh4qUfnPxVRfw6/INSJIlCeEERR06cN4N1HFwE5LBs9M735EBM2TQIap6JrEuP6w2UC8Q
c/qV2EFO8PbdZTOAO0xneV0YJO9Vz6JiAZTQs9Gv88QvEVuFI6+w7K8DtsZR2Tgl7wNoIz0bhr19
uLHLYI1tJGIr4IqdUBE7fT1kOq5/eP6/m9r/Ox9DFf/2DwjO6C6EwWwmDMRREyGDuWm6ddIXbMQM
vYB5J+Z8iuQ+PgQWu4IHFbdT/5USxi9G0OM25oGNsvQoDfAHNui6d/0Q7fTUT5NtTgfI68f3sYRP
6TIofHNPJmr3H6zn/H5V7XJnm3q9sBKmn/QApAK+tb7hx2tNUN/yvruCJF6HJlFzjg0bB9mxh6et
DpH8fGoVlFg5/tdz88goVJo/fIYRcwNxyDXC+oyC5HNVkvYJFpj0gcKx5veBZanzm45BF404He0K
uof/CDpBKF89+705fftrYq9p+0BsHeyRyNlKym+hj/8T6eI6GP+rqzgLA2OCvjogsSgmBZjGrZ4h
wMvhRqhhysQOobqFLkzWXgdUoL28/ZeQKY0EX6EeCFQgzrzb5OVQsvro1U5uSK62JQCemnXFOoKr
Dw0d9Dswkv7vh1+Hzn+0kxuSI2HVmE6broCAunlBqpq/g/5o/2tvSfCHw8Hf/QlnNr7idSuqpu48
76wTQKFOGoDpVeOw/baBYZf+YVP9m588ceZlxBMqswpZwf+9dN3FXH1PWxvIc9ODsH9CotvvVIm5
IbqqxtlJqSUabaABgm7iMyYivzUVcA1vO1MA4AgOAoauILiOWxhEXYx88PuxncEcQ/GeHKjBzbtq
ipdbeM+jy5ikuPcHGluGXukC5Ibf/gMiPFs0kJ8A0wHSH2rdqy8pHO9/6LDXZvivDusM7NmmU9NY
3RZxHC0XZK6TrKzhj/3fLfS7pzsjeW1wFMkgCS8anvCLWm2fJ2njtY+DruJtw4RCESljWeZkbe7C
ErLqUfi1uZuhswxyzBEG7fw4+LlMp0sPnrZXk7gZOjjqx2ZOO2gBGnofR9AAC79TPBY7Ixaxwiuw
tilz1W7TXTvPSwEB+ovfezuLhTKK69Uy0OQ7Us1npTTPbCr5xe/pziiFrF2XURg0RdzM6h6p189T
Zf3gsMzN0FUiroKVmqaAykFeTLoMN+Ek/aKoEPm87YaB3XFv2OumaNp2ylWdPASxns9+7eIMT7jn
JjOzMc0X6FD3C6XbR6W7zu9Qkf17m/7L+rUe02WSfEjzYZ2eOjkWrR79PuJulM7W0Ev1FRZScgGR
fjAQEx8y+sPM+5t5xU3SrUjnH6jwwyCa1xHuE31SAkRhrzZ3o3QHID3zuqgGVUu9PQ2Vgr+p1EPq
F0hjLtYrhVQINqQoRaHVCO1YIkt9P+5d41cHydw0nRFDCeEIS6GQOXDt+R4pgD+0zL9HZP/xtXCz
dFwcECwNVV0QG7D1PgS7HQVGFWCbryAljUUTpQeDGumqJRM4XdtO09JFKxCWStjLZNJwgpeeVPSv
Po7oWpQJa2KvE3gWOeNQpgs7sLaYz02860tULoD+BnCIeHWKyBmIbKPsgJBnPrOtr5GyWF5RUrl7
Ptz5TJptAiYntvPZxuTIOpgdT3HnOT+5sZuoMyJg0zqfjx6Ihm2xP0P9/w2Kv4V8/2YgurGb4FD9
VEpmzhUS89BY17BVU5RveTW6G5mAr5qXzYrJNIZLee7ZC2xyfiWVzE1M1D127KPiBvIdHWa7goG5
LBGd8Xpzwd5+FPZgIoDALNfjJA33RMPCxJzruZuH3O8POL19aJpFJKSGBUnXAl9L28LpU0eCsB9+
f8Dp8HrpDFzXypyhE1LnPuEwvabc69oDV2Nvmwf7h4gp1pszuULotmgCNoDHXmF/gPnfPlzFK5/L
BQ9fDUjfcuZTNkIq5TlWnXNOXhugGcxgzrQlCtZ5+HZxYvvdq9HdRCi880kYsnI5r7TusyQIUE24
89BvkeUS6CoEn0MesOU8IuaVjZ2unmTMlk9+7+4sEPmmFCMw6J6DFFdwvDsqiKQjz4Zx1odwwBCI
vOVyBtGUPsOz0X0X4RH7rcndNOgR1du0GEyRwyDkCZxz4Il4+ScEz2827G6ASpJuot3IkosoZbQ+
16Zv+osVVOoL1wpfQa/2d8NU5Qp3DGkxoUU0CfKVRtVp2I1fmIpxZ0JTdRkvi8DTq2po8gRJqlM6
2r/9Xt2ZzLoWvwDyjPoMX7iFoWVq87kv/eYaN0yVKh4ufRTp89qZ9dLD9QN7aXr4TTbcmclsj/Xd
oTeozepDXsjcfYSpLPL7Sd2841H3/Bhx1nNWSQ1vmtzbEyKpfrF/5gYehxh2vjgp1TnoA31qD/hs
mbJ+5CbmxsBKzqUmkAKem6sx/YhgwEyAlvf7/LkZMEMsjpx1lVxgJz1ej1Dtn9pw+BPr/Tqr/Mcy
102BlWzbiEFY+RxpqE3JdY5XlPzpjPB3T7/+9182XZzAEbraNL3wAEfna/BjlMOr10By018doaSE
4CK+gPNVSvi3EPCDfX7+4vd4Z5wSOTI40HV6iVQ/IMPa7qJ+EATCYr+x6ibA1JwYLJxUeklnkrUp
vZOh58ePOQMVIK5psRSP7jmWwtc8xOAXSGRu8gsChaas4ym9HFf0UbcRfuJ1smVeje4mv9pQ1sth
R3gau/Jm0OoZzmK/Vaob+wojhIpY3/NcIP7QDsEDfO/v/d7aOYuKgBGqNRt4TuHQIgVXEnXX9dab
j37Pd1YbgyJTCyVZfOEj2cE45zO/u5bq/YknGP/3FODyvpqgUzzZSnHpVTDfwDa29k8zdN7VGXWq
cXlb9cdWPy5H+efNtfj3QvU/5h034wUPXzms7SSxU9g3+KqJbCRV567DqJOXutw7mcGSB59MNrAJ
3/a9tXqIb0epRN1fsLFuuz6TR7fa27q0QfkXYxtid0OISGuXsdYe25Zhw6Omh06QRD2ucwnd3C10
aTHcdvqQVdBkIUsbVsHIHCtsiqASVSqL0mms/lK67g1Uyl3c9Lfs6IB7zi029HGV22mFIRwe4nZ/
AUJuW6Eh7ODgAebbNjvM4yQ1geBZasFu726I6gTY9D3OLJc+Q12BNHjBOR6Hj4r2WDu2cZv87FWP
/wznLmToAnFfBuP6sHandd1oUxzWQEWJ/TKbh79GHNrGBhI/EpItixJR1V+HhnfpDygRYeJBIecx
aujcdNPaL9eQ3o06ervDVQ504Wnbmpl0eYzCyfJ84MqGngNa7vOpTNDT0tMqNhv1OV2PKLwnySrS
SxOZo0dd2DTaG2D8r0pVtYrHNjRNkocN29ipjsWEVVjSJ3nSA4Cb7VMlpgH5zXasq3xJscWKTzgh
2asRbzYNOs4SKmLUjaxNUfIYy0bMJaI3d/i1xhqSzQQruywlgexz0w/027T0It/sscc/THNYdlF6
jLqnQ9NEfKonGsdPbCkZezjKOjFVLg/UqPBLuhkCIsIhYiMfUaGR4PdSTaPwclV4pJW5hKAaYzXW
h+PR3VjB9g2O+L4Zq9O44jD4NkYFUvpK9nif7UkOHCaxKgmuGEhp5LAFqGI5ENoCQSc2qzlb/Jbw
OdMIB2n0VnRDAvEg/NMX0dXDaRT71mtsYC3yLteV5Trfh2buzpvGHPUkxsq0r/tOqwGqhmoYKezd
B+Onsao5BSW2tjLHGUedfE0WNoz36X7gEKiOQrPrbFMLDvOzNIliihXUsjDGIG5mrH1PukQLaHXL
br8f6EZwqh0uYKsduGZe1gq1W6GdYdruawHIWijNdyoD1MzoNebqBSZckuR1OUftd5yDJBKDpufj
ms9tNM5PnQkr8Yp41tRfWhujTCgdwzG6O6KAdg+k3rrj72aQo0HFDNzw/GnCoK3Pg6otvVU9aafP
ddAnIdzWvKtElMU9T9VTuCwd+c7bskxsVlZpXxXbtq7RXagbPn5pNwExPJj3IarRq42RFGjnSMgf
5QKfaQUzd5d8j5iY1GdUlx/1CbdL+HahVGK0j0j1zQn+z2PAf4ytXo/bniprX7sjJOSkaoykHy1H
N7+pOno8LWlYXUI6Je27RJtYnMOkUfWHqav343lDjQQNcBMNbkCSX0nE4nbelmH42eHmpr5vxcRs
MY6tLIuJpkTfmymN6anljNOviaA8/ZvAAvyEEvLgDtdIxw9Uh/RZu0VVXgEQFOR7cyTbHSQP6wGb
qmBfZNrwNFcSlY7vY1vL4YlUZUNuYX029hxMdbvfpFaHoojF3oWfQ1F25Yd6Sit1UnYJwERs4elG
HUov5vVuPeZIP87hsYS3TAklP8KsUY7vTJTG9SWsuzHOl71dMXduUaLrC/LTRD/Coit+SDABhlOJ
U5rtXb2HGlNJPe7bWUQj9Lp5iNuq9b5rATi+lJVRqFAJ4rV6rZM55be9UkrANRpo8b2u01adqmHu
ljZLBlKGkANxtt/Osp+XfNloGOTLDI1sNshjU1/ZkuIN8ggaVeAMd7xFE1Szhjk+mIfzcEXyZADa
Hd3TtKEw7RwpvX2jod0E/GcVXIwnqCDEI5ZLFcT2E+DFraxpD7ftFo2f7QRLLQBHfQ/kWca642hu
twVVsq8WfjoNafO0xDvm+0NtI3T1Cz7TW4YT73X+0ZFlqT6s9ZHeQ5Sh8VXogKxJP0g86vprqsXo
M2R4uO6Ed5r2UYYC0CEqZErS7ryuFZMQiZIlOe63fa5wjLnD/5TehKXFQhHlbHV9O8OFFmQHrKXB
i4g6TfOaCxPAjb6SNI/tcbSfdHiw9mZdji0tTD8GZT5ttLQPDIqt5xDa1+YFR8nUdlkj5ZJegI6v
lru0wzbmyeIoIrnwrsFHbynLaELYm9f7Q1+FbXcaD02WE1c6hvtZ6LlsNpTQHTP5sIRdj4qMgS8L
BNJhTG9G3Bu3TyNwdw384JZDcwO4eDZtOiW3hKXz8i6ap2D4izZ7Ih+EZDM62lD3sv6byeRAd+jB
bZvPY5U06wX/sr09R33H54+iW+vybq6alt2iklbIR6MpzFhnzElS5BAasfKfA7xkgM3nuo1u5rGp
KgScUcmEjpIApnRXt4tVN/B5MwSHKYLE4XlWUB9m62IHCpl8mtytvUw/JbTDGRsw6VH5ykktg5+I
2r9cQ683QKlQe1msjl8Q/9x/jvMUbjkJ8AE8re3Q/VQorvnUowwjuhGYnkm2plNnb8g2fO40b3Pg
kJsP2NWAkXSEAYSEUh99fEp3iq7fhxA2PK0KXmk1Y7H23FFcG16qJaD51jY5BdXzvYiHdXuUB4Xq
vGnaOXrp0ykJLvUIn3e9jzSDTSJEN+g3eQpNdMzfdEuxLUtagFROC/aCj+2Cus/nGurXIEfMqbzf
8B8ej0pWeYO1E84WaMf2vOXafum0rhYoh+PQPgAJyP6qtYZHuxWPdd+Ft+s8B6xAna1itxMSWDdp
nPCXg/SAwdQpRv1rSDAWs5QGK/qDjE6U4rsfpm0z5Jh15unpCExyXpN0OJmwfFBt0H8Es3d9FxtM
8Xkke5Y30/jjCOsJOu6y+Qa3SvvANwva+TbjFPqmE9pyrDiWfbR5qCO2fJ5IhfJRLLSOCPjCBcRB
sPo69INs3AL+SuGKoXmzKTL8SFaG+T5A+du9amdE1luEhqv7lC37+hP5mgV6ddyyHnkY0DW6T+Ll
2P+Oh367VOuC6HIG9654l0yLqE/THtTqfS0xGX5jY19meg4Uq099Zw2IKmXF5Zh1OlbV3UHhJc+R
OVoMpO6if9x6LAZ/Dkv8zJajJ/nQkgqu7rBGSb1Mg6l8pkqV+wVZ3WH4gMza0r4AniAe6rAp16Kf
rLVPMegNKtc7LuZvOVA5a9YbutGM7dNUfzGDrsJvTc3Wdy2j07OCvLfONiDY5xXnvscufoykmcjL
AmNi8IXhKiz4zAVmUmCbliVCFS2XIrKnuNErPVUKBtq7ujn0aZpMjCNGYUx5io9ovSSLadsC5xOH
etyQiXlO8bGNdbZuPaJWVfREU2jhbQyloS4Ry8P8bbKgNSWSnrU5UX3EMLOnza3tm1O5DV97KL+y
eG+22w05unYcPiONZ0+WjfxEa94JwE026BL0mEp8vlDQlbRlCEibsXklucLKflZw9a0peWiGJbB5
revwJtoQdbQlLkX5IJYzQd3vSUo9ZQ2LAI7QYviIVe830UXvDIGYgSwYotxeQ6893bH+FF+qJn1c
WXoaJ4KRQUhY1J1ch9PRtjiwD0L+QvptuoUErNMZaSUrOq7Sk0GV6PMcyuQuaONBn8JqfMI+Y1kL
KuNIrPjNwn56UvVUo3ydAAV7UWkrx0covTc4uXcQFu5TUbG8HSeooyPS8PUdGUINoDMu7tNXngxb
fYG+mujnidbsSzJDG5TPvMTZUtIEi3iygyrjS6jbjb7DhSYbPsyLON5FXEpSKDmOwZ7N1+OLgWPG
RcUFMpBJsRKFvckxVOl9iSlT7aeE8+rZIlkVwBGP0fthPrYJBfeSEbqdgMksu1Ockka962acYaLx
KjmdmUXdtrygBJKck5INQ67DkqoTaWpJHrlRV1OwmK+L6wRp8ro6pcka0bw3U0gMHoKa8aFf4nOb
SKC5sqNHdemrQgUl+1TNYnzQg8Gy/lRXbXAiLdCD6LrJvmbxJjBJUAO2xk0lNoVFZbyH2AtWC25y
wQnQGxxLjAfLbYOXCd+bEQPzRCMx5Z2FJL3odnxPvkYh1PEXGneSwIGjAdcjvGFJbqED/5GuUZXN
jBwXk5j9yzCUNcWWJ4KK/skgrYcZT2NJ39yxRm24+y/tu8RexbuHPtj9nCRdeE5gTtqxfMNSN9cH
Kjw/bXINqttODNHyamRJ1g+DNuSE65CJfrOy3NZTtDdBrrr6Y7obaOtV8I/tUMU14tY303tb39SL
AtiFo64fiz12Oo4lVVmMDfmEJHr3suiQ3tCObsU+mvS89TG775DA/yyxoIKPvv1eAWT9juBI67km
VFTQFCwv0bbejSO+DHfJVtm/iWrJp2mIEsjZmxpJ7qOdj/RxCqh+Djfwh4G/jx5BDjVZIiwoKiY8
Cixbpk8Vjpz08xoo1Dwse3wyASIXZRB9SpJhzuyYPOLmB4wBSHGZzuawuscUt95andCPmN2rc0db
0WV9vy/I3kB2QqMtOFUbDBB5h6GD9jEb5oyyuWlMXJ3RMSAME5W9O0Tyd5JUy3tOOb8TYYcOx6Q+
NaF4LyPdfySH3N8lQrXvq1DNCFIZ2XVTtodNus1Zhf2bvVgIC+2NWGn1SZBd3S2tTdK8HSZx6g9z
7JdBt9GdRSCXf9yCJH6p5IbYQ06XIQ5uyj5eN5mVGCsJwA+2Dv9ultIuH6NICJutTb8nCCeT/8fZ
lzVZqpvZ/pUOP7d8hUADEW0/AHvOubKyhhciszJLzAgECPHre23bt6NPXR/7xolzXqqyctobxPet
cXE+K68JF6fGrxuCgNQYeIOu6GGwuMrWMuyrTIslIOcliGDRRyCAo+exCPL4zpLVTvsFyRX0ZRMN
E2nso2W6zJHh+jt2sXZAaQYj7GhKU0Y31bo06BfW3YKjNTCjegnnxtD7IZxDs0PwiO8QsoHS+lNP
lrj5RnBnooSN+5KXmVOunxMP4DzfxdMsy3RsMHW7JA9JGDaJ534uf6yKh8PNsvbL9oaaNYcBv0BX
PZ7eDW5kbpIKFrhqh1yonB1G1ZTV4xoAzdr1XRS2+0ni4Muwo2t5Gq6C0t0gWxbewyZW8QsU4WGQ
BfHK41MAI+D6s8RTtL2f7aQMTX2sl+JsBxtSkSAiR2H+2yrW+EeAPZIB14EIebtY21icREUnMUOZ
Frf+pxrwi/tW8zo+RWh6B+TTOvktsGFNvrdgaQH8rD1H7yZolSLF1YHJP8nnpUYDzDiv2dLqUX0R
SKmYXpQrqPpq7RCzKuNyIBhW8o6T5ZNwW7XqhDAmQ0w5+dimcR427M5uavU/o7yKm/exhD9zpyqU
Vz75plhjRGjwfnxAazmv1123IK/4EJeE9Q8C9yfOYBqO1wEB9UgS8HfRIZDiWIW0cMewLmraZtE2
rmOfNEIIjWKDHhs11pdqSD2GVAzWmHsm91hNGBHdIa51Pb40lvTLvq/IFJ+sjWeOd2yL3ZgNrFmX
73XM4a4TRR3b75Orh2VvNG1JGtczkjgGnYt0AJs+3fiqijTeElnC3mrBG6WjWQZsWINAQNLLvCFy
F9EWQ37TazYcXL6qpyFkfrLJxLfN3PumaZIRDbEJbI56DtGYp6p+753C+KKwsbhjRVexY2KLSFLE
s0zs5DBEJ9M8OfsoAyeLnwsae9RuqyktMuGQ6dUn2qI65Zhje7wpkTiHSy8M2vCcV6jqvRjt+y8x
ztAxC6cpCpqElhBPvNhmqwj2Lk/JYd1wcR8k44E8T3joVK/OheUBm20Qf+sx48si5bGm5RM61grM
QlXQinJOcKXxMFU4rD1ACgI/6CaLoLxTlaNbOuKu/1wHvN01eSm6ZOb5fO4pgLlbwHAhf1DdKuqz
W8b4DQDjV1S/TEygKUjA2dCj+og9dUzn3xHTglVDtzgry2qsb6eJxrA+IDfHnRqpitRsHj06MIbQ
YynHsLkdptA2t2M+28tsTF+9oph8+iBDbW22zgTvZbTKl3q+7hV1rbqnZo3ci8BYM2V6G7B9Qq43
rUnjZLuHBz8WSWWcxoQCNc6CDke1gobAcWgBW07VnYNPBc2f6gpgIs9gfKndJhPGYaw4gSGK7U04
qIE8hBLaVGjdZKeX0yK0nhq8KbOnFkEFeVXuVhqq6jo7iPJRD2UsdgH8L8PPFevPkpICgOx3pHig
GHnkyka7Dssfw/VZsk9jiQ374LvKJqzCKWqSZR5RzqjZXPxQvLXsJXRzsaS+tQH2dxk1y5pUi2rI
t7IM8jd1nYiOakV4wmcvzMdUN1N0ooA6Ap0ObVTPxxhVNyqNxdh+9Bz3baLQRJOi7YZGuyZGCOoV
067DDS+CVzvEtuYRlnNFw/3KpJNfjSYxbPVlnAPwJnGLwC9rkDCTYQxq3ZmLvv/RNCvSDAHIFVX3
ggDCuMLkXbjwWE2RfwcipLfL2LD8oy2aLebonfcLu2kLFw2fSU4F/wjQBMPfgZgUAPwqzW/ifqxx
gNDCp0wHg3sY41waOOhAmUZaaPpQEiFA0mCyoRfukJO7j5dRsGydNhruFrFgGWnaef2EqO8g+mLG
eHkkJLJfVC6Dz1CRTNuhz2EjOpIeeM/atOuyE5FCTvVWLeYLXvP60gU11JqiQvE7onui/tQXcTyk
3GBxSwzJ668woK/JwGH/MiZy4jKuhjxI4dZbEW+F2vc5knN2DffrYUBbyiEwDT1FqOfGwdeF9qXA
FuPvje5hil8WxFglfMDK+snNSC7+jmgZwA3Wu6j4CsYDcUNi8XgdmKsqHAtxGIQ9BhFsRIBEp8/F
KjCWhkDIMGGVtOIEqcfolshGuDv4jisNONDNrEf9jhy38sAMNS9oFajqJ6Z6ZBusKBZ5KvGDJGF5
nc9TnN1+cskIyDe8xzQoozQ0+HE+933u+n015FWRskga93aVcJ/6rmnbyyrl1uB71MQ+YV92zX2o
pbtgvCzDvVKG9Ecog6V7BMPS7XBMdN1+5LyyGSuWJoAKFIXEu95RHCKINzrjvQDKlhveGwBIDlr8
xfvpyZKiWtKOz0FzJmRptwNS9bZ3wtEGljRoPL3orV9x++QKL0ft6K6Ooxlr5uTOYR9gji3K7uJN
wZ8gyh9gfEFsKeA75I+Ekcy/kg0uib2C8ct/Bny6LngaWRq8T2rUTKLaqd4AeNlmNt2pA/FWfi+2
wbYp3inkOKi6wC6AE7NZ2rQYcoNYfmRyxbdI/lOAa5ww82nto0EdJOrgUcmbL0KVCeFI89y7OLze
hKRatMb6PmB5w+FTZ9VmY3ea4DWKE9avU4PbGDTux4wHaH4y40R1tiAonkJg3LIoeOkjjGnZ4uKx
SGW0CFjYJuHrl1IgwCijADXKrw0guihpu7koPtN1w+mhCRHBWcig5Wkbs4ZlPUDeJe27BYhtUgi/
6qyCPZHeR2YY1SN6bsol8Qg3N7vZ5xz7MNsijDGxCaYfZERZSMLhYIofUdG0yEPhjZM/BH4p98Vi
ShU33AaNTKNG1uyh0Y4iC9xg1yhK27ZPHrkU9Z5VlrY+4ciQWIDLF92mk6iZkBqDi3rVe5AkMh/Q
sR7b/Lboabmdgoiu3W1sQD8kwoQONQCmGD8oD8vijm15B4VTTuvuiD4Gwh7gvJQC99QYbg60ZufN
HrWkbtxDM2faFGQhn98611qC3s9tUifSACD8Spv2+g4J7FVZMMamwmaPba+9mwGL1ylsQ5OdE0Rp
BexCBePYaflEuiMhxhVvnanjNcuFyKeDw3ntspEbU+8aCFSGjKFoaaqTYWx9scea0WBfjpAqCE1x
c229Qwlgn1VFGa/nfKJSpbA/6ZhnCBihuKHKvIVMAwx/r89iWcMtBVhsoqPvoh4ilAEDXgJ6IagT
WE63KhtwGTT7aJ2D4UOWvG4IFoggmsJEh8jm+WnqtoFNsQbxO+Fh2mJYjFLSjPFBMMP8eqoDFaqX
eURB0Y0DyrAa/OJlVEWYQdawv+eybNYvBL9NjJkJUEg/768h7dh+F7Ut0d18XdwvOenrFRMYZODI
TfO51ve+DSw2lnEOBW7wqAYKK1NQiNxNCbVt3P0oPZZ6qAS9bOnHOC1kwDAgObamfoKLfEEJUz+e
bdzP6p7j8NCYF1W1vdcFSLbvVeX6eh/pqCNAiQYTdugAF2P5GGHmx73MYhnxvcFoNHwUJuJOJVMQ
I4TcyWhWzwEQ5xKtRqC1prcYKcX1iyFzTx56DR7zcYmrwSKIw6uGpXIZENcNN6gZm1PRgs7FRRKZ
cD9KbD9ih3rQebjAa625SzdQo32L8MFRljKjXEzq4gwI0huM2ErcYCyK7KeuqerxLHXo+hOZG91+
DykFeCWuM9t+7lsyJ41kjtz0FLllj2S2c4kzDrH2aYzxuNv5uVXjXWkn+LdaTuXyvDUQR6aKWnCX
Zdh0SE4aNZl+KGFN/hwCOU1Zh9qOatnOZENtPEZWxHU2J2d06DFPoVo9DeQ6zUffd3F4HEEeuUNT
i42+BMXE+bmsQXCnhrbQtezgSKYjkI8O/BVYLbtysh9GxuY0FG1FEtxzt8LYK1DbcaS+7GkAx8Cw
L0kAGlN0YC590qA5UCV+WA3PxkLy6Ditc7wdTbQS2iGpkLk5TupQowIQ0ERQ3fBgtPaFW5QFfEgd
ze0NBttS7htezPEn58A4Zo0G+A3TLTTXD2XXNeKS66arPzmFF+bimartmc5oigKMB+PFobZ+4w/V
LFt9Xqsxrj9j2wPGCjwd0/IAvE21IGIiRA+WNJ1xMxuSItJGeJOB3pYq3tdQvF+TueU3BHNSG6Rx
jFzXdteC4bTzCQPYiBd2kpUZH/Cc7kClQGMGhhizW+w/hXjZ4RmMeVFvn0EKAvZdcCfv422TNxxw
BLkwkgNfTwRFKCO7stOKHWglhDnUlRz4zdb08G4HzPfTN1fOMYDtekYizn7SZvVFEjgwFKDuGbSE
FNkMSyqAcNjv7RIp9tAjTcSy/TXBOACwsfJFAWHY4qVK49a5OvPteC1KnKy442MedSf0iGzuOHRm
DjO9eNPdMIv4pWTNaxqcos3w8IbYICB7kO5TmTVKx9g6zWANZqOwLcPXVVZzdMk3Xa1PoFuiCTxS
kY/be9jxUL+ZuqfNiYbw7p5o6fxwi8SBcXpukLGOqabj0XoTIGHC//QDr8xNucyt3G0zV0AGYwwi
CRjsGWRhaS3Uq8MU3c60tS6dPJpwTyN+hCqbN8bqFGYPARFIFF0luovax1BH3zULqq4/U1dreztO
W9CdJXoct+v7LHOYd+LJL2lpZVS9AVIkwGW5IsYCO8cmk9oO13m7w0xd49GII/S65bvRuPuYjEuY
ekKCEbeJGkb4fwy/vnaxAYiFGWLk8b2VS0MQVVDK8n2+Phnf5QwUGnkdXJ+GPvYBWBWMU5/CcWTT
jFkbvNaYzE2EhBIXovhMgiigWcg4gVws1EN+xwo5uT3OT2R7Lk1XLh9TtZr1pt9ky7+M6ywibC1D
NZ89kPr1i5KtWe6vmaTh0bZznrQIbxoSjKF6zboQzBUetiDkH5T3sTzbAs6ZO3B+LTJFMBRvALaG
GpgVRxFrxKfXeSaDSmCUYw5gv6kB541D8QTZT4BRaEHJ+FMFpS4eiOiMQRZpvKg8fpGGxhCrdxT8
LPDffBz6KSnhX42SXkEXE6bQcozzB2AkDbAYcA2dXoFVbCVJxIS5tUo4jtdpS3TTw72UoHQBC+d+
hd0ZZVfdGoniGxIDQNkks0Mp03Bol4mXVeoG5OFjAKVi5UE2hgWkSdl/2nFC3DTh6gDSNZxSCoUb
0E0FwCtF8Hf4OcRnk8viCm1OcfE3mBl79wpKokMO6n3P7LgDTLDN0GmTnJz+M59XunobNUcEz69r
RkUFCG3zBb8H99rNmcgRZvAHFXm/yCCFj7q272yzo/HXKnoWfzCg5deALN6Ey4qhu9mF5ZMCWlHy
P2gJY7+IH3sEeMZ5KeUez0cKCCle6K3FMW3/jSf9dwLYoCn5raYVQBiboLAEMUJw+w1FX06X1pEe
sZgWajPA1EuFmgsZD+xhtQBusVlVhKZgS/A+/WtJ4FVa+E/Uc79maekV2HdJRrnv0c7bZCV8MbcQ
ww4pBjUw6WDB1elff6ffEQcG17//XwrecbC41MJQ7BFwMchPk+/zOTO6xJLu8EhC2i4SdhqMo6vv
/s0r/Dui4eAXPWUFvSMeI4zvhULHzIQYpd0ApPnf/EK/99V/UVMaNFRaWcQcSqj2rR6DF6dM/sdE
pr/GbWE+H1qjc74H/YxNYfSncm7CP/jFf7ElTEEwdf0s+B4I9A5CZNAeASDHf/02/96r8st9nq/g
Fnlcir2mxOJhvuRJUOCx/8e++i8GK1abEGo3vC5sa5E1PcVoTd36T//6i//eFfrLDS9GEKhmrXC5
FDJm7xZgkkup8Aw9WYq1JjEz3AVH+KS4+UN1k+GvCUeF0k4iFovvUe/Lv0TDaO+qALjqv/6F/tYQ
+k/u7l/zjWTlQ+BBOtq3Ki4APcedd6BW8N+HDybxEmHkxt90UdCJQ2mq52ornwNcafyY23IusKTo
Yoe20fd1CQvDkkliFvv7T/d/fuODtH/9L/z5R2+w5eti+uWPf33uW/z/X9fP+Z9/89vP+Ovho797
bT/sr//oN5+Dr/uP75u9Tq+/+cMOA/nkH+eP0T992LmZ/vb19Ud//Zf/vx/8j4+/fZVnbz7+8qfX
9xbyEWw7Y/lj+tM/PnR6/8ufQhRmwOL2PxXJ1+/wjw9ff4W//OnzhFHgPx7G1/cPW/yTz/x4tdNf
/qSiPysK3QpVeE7HMbs+INzH9SNS/pnGIdwTccQQbqGugXkdunwLfG/65yjggimcpWBq+NX/Yvv5
+iEW/hkEOcVnxnEEWAMGy//7Gjz8/Wr5+9uC1+Qff/6Pbm4feugULL7nb54YMgpicAeRpEJQBo3R
r7G2UzcBNJ75ckAmEVagefT3XQ/vCpJ/y/GNxFt9cTRGBtP/eqH+ybcNUDv//3znCH0bAZSnKmAC
krLfPklmC6EWVoXlAGtVvkfpFDevLQPEmwCSjMAgmqAuwES6+WsDoGXbrVFv6lRJeG7THCifONAG
QEtqQSx8y4e8nBIfdFdVhYcKSY3hkFKsr0Vat7mdj44FEE4M0DGhK8NNIUS/vfJvoRuSECqt7sDg
5PnWRu366nsWv7S0QokuZcvy6O0Vja0nUV6AWQA6xiPCQMUVsPkrSuBLyCn4Aplze4nKvgS2A+po
E6ndujf03gCoCZds64M+s3n/Y4E5CPmCrnqMkcD/JUbs0gFYbnUztlAYQQccAZgiWuSfyQLmcrdp
0p+8Ymva5f5DQuF8oG24z5eKnSa2VplzxYMqZrlf1nbDoNHXKQm6l6suKsVJCBmJY58WiJaSMmZP
voXOmVdNlzZtDxt3HEb3HSQFChBlykLAitrN+MRx4NfgqiYlE+0AqY0VQGL2atDxlug4ulBuM1uA
N9PhVazU7LGeQGmeb2UCA/5BQACYWo5hxBY9CPTcunsH+OOGzmY6bTmsXHlj5/3UzwicB4gC3QeW
9llj/Z1Q5bmrVRhmdgVUNnE9nxj24j3kEvwUUQmxJvDMXTDO8zmntjyErmCQ0KwbUrY6dqzzat7n
Rrdn6M7EIeaIMxk3D9m8G8luYRGcCzbQzanrSPRugkUfsSWRTBJB7kALdKegH8onvzW2ziB9iDIN
DAUK1DUvpqSqaAi+WkGWkkVKQnQLcKZYdi6M7KuXou7Be4V438tik9/0HKlb6cvgrVtY+z5JX8lU
YYcME4QEzE+6r2/oSvomg967vKtYPJwmP1yg8iXnNjTmXMC9/qVVAt20GvXDUJdvcNyBZ3Llltq4
ICKhtBciLbXoH9Bo0GDFR1I9MNO+7jLWMn6H0Wyj6RqEzU1j2+CwgqBoDzUp1KeWkxGYeBvRbBDd
xnacBBMFXyjULcXa4hI7+OWREVCJEVhpfdbabFjOKAALcOJQiuas3u4GGQJoHPAgfAJxSsFPlYhB
FINub+DhYcALkWIIUblCGQvSU577EY2QkHOo0uPFBDmahD5ywNWgNb4P2355ifXAr21FEtw5IhXC
i4be0O0Ud3o4e2QtfvQDBmzgAcFLHRYD6I42iH52wuVwmIHgHcGxD+FVRO45eboS0HsRD9sFSzbU
VqjPHMO0GyisJWFTFc8zKztQpwO5jIYGe+iQTZhyXcqnGcpAh5+vtftmI/c5+C6ha/jyi5tggXKN
EoTC+euqvrDmuBRxeC8iUKNodby5RkgBqRT1TTwhXHgLYDNhFMFuLajJY2WGu05s9gEA7XtRByIZ
YdVI86nRR1qhZqKTEoA4VIZ7CR/BXreyfCjAXxygaFYXSETYDhn8/Ru0QNDBIgbtjvpKl1nrc3eT
WwhPW+BIUVLCNnKJYQEtcAErlqdb5xEgMnoevMnKleeGzc0llvJ+lS00zIDppzBDLp4VH7B5wI8D
JtRHqepIi/uSfJ1ajecxkM5OBPwzkFW5t90yP4KtogPg/Fxl2IOXM2QsHyYccH7YPor2xWjyLGZe
Aj+LUg6zNKCLFUIc1+ryBPi2fSAUQAGaNRCsR2GmepJNVIfPC9kgVqO+nk4QDy8/JtLOd9ZdnRJF
j8F3xdwAKf5SpH7qoaatwhUKLp4DJyGLflMLaCcCidExVCt+MS4pHKUOr8bK2GcFNPPC8T4m7erw
FdDbdNKuvlvyCAYZnR/nBirwvuXnqSnkrWGiOGP2/omnU3nX9TFUl+OgK2gaN25PVVivqcmHWu/G
bYOitbQ66DLih/G9JB7kKkh/eiNFZ/OE5RWyNYqRVGui+KJv12J5Kr2uv0zlCHJAhuqDFsF8AKmG
yNIYN8yBD4tajlDMVtEOjQbqDlkj7YvE+5QuazAeIe3q3hFhFj3YdcjfoG8Iok8WVDFEvVsHLr2f
Qrpe5StjlRlMB31CAj3uajNutwA2wrSa6RsIs34Pfno7NCxYLpBXIHKh+0rWGRAVrJWQNNa2DmXm
FhEGh7KdLZSRRsGJBrZpenY1iwpsJVV0J610686LkSXN4oYHr7rHPASAUswIz7CmJQ/gtPO7FUGk
V3VbWiI0i9qxzAKMtdlV2wz79akNZLVzKhovsIqlhI+gQetS41cobrHYv0OY9wOkc3RyVmJUoAwb
F9IVU7IODCRMDsWOhneCsebGqGYF3jfyg1pgYMo1Q+RVofEmF2t0qbh+QUWJ3oFDxAWQOxzPOgQc
OCEoPG3JVjy1MGzv+qrcE5cjGE4E0HrP7KZYMW02ZAoAVQF9WzWbUoh4plvogcLkCmAn/YpqHm8H
Bn0IejyNBBSMd8jtMAuGKTAbmi3r9jlvFryQbY8ICoEXthm6/LZXKK/IrfnseEGe474bj1PM5+uo
IZNKjNOhh+vigBMIpCg3sCBBlbqjM6szjl6fo6hQVVVU8YMlHrcvmMP7Fe87dY2dwOYva3QgiHHe
1avUh1HVPgkRGIgbvoz4BeOC/Vaq65uKhZnvZ1vaB1EaqIeCySqoq3L3LZa0eYLsmV5o3NQ/Ae2L
E8Ej5xRAH/OlMpDgzwzKrb3jtB9TEFBdpiXNf1LEokMI71UK3wTS6/GYzQ9kUTBc9GVQPEChgCdn
rRd6FjpaDyurwldYZyAEo2y9b+OpdgkxHRQo+czEGe4giKKWpWrPUFqUn3Qc8AtVS/Dshyr/aGy+
LYnpVHsAzVvWOJiC/FRNlJ+hNr1GNq1VvNMhgeSSrhbaau0Xfeipqg8tZcFLiBLiBCmHcJTASwfd
KGv0+1x3dEkbESOtfim69gGxFuSZoWP2WBbWX6q12q6exOUrIM0Wrh/fwbCB8QHi2s7umZ3j7jxR
Wsc7XoTbc42Sho+5AimSGVXXTyOMRU9x0RvwSKUoMoy26E/CaL+v8tq+KCi67/Ki685FDmmxZ9e6
7M1LB+/TKPTXMhqirG1pc4G0an2Gvjo6LoByH0kcTpgmRf4QWmgmm0AFl6lT8itpXJ0Cx+i/omgH
BhNwjGLSd6OqxA1Tmmy7gfBrd3YdtZjcC2qhEKVBgoTU8iaCgS2BbAHFyQSxJ4nLyzWFWxhysNmu
tEka7A3wwvG8vYOCoTjETTcAYe0wMCLV/klMBDmrBj9BB/PPZ2zBS51ggQqf89xBSboRJJE84BGB
59us5eJxgAUia60qocuGpCjeOti7wm7bxyIa7uY6qlLZxK9VaQKYHJF5U6rOH4DQif0wmOIdQ0uz
I8LACKS3BuaPGTjWoQX2fjLDYr/hpt2eSGwxbfIVwl7wSZkilMGzqWoYUGARFG2oH/p1ZHcOvpv1
tUfU7PDoV1RYfEJIqYZtymxVjk0EC16aw7jqkqkb1zyN2AI6H0g9UYkATX3gUEg9wR2hnxHlWP7c
SM0OsRe6320u0od5pPbReBZ8m9Hv+DyvjkEhObL467zpeNtVZdl90i0p3lcnqjMsqOHrEAGtBOlZ
gsGEH2B9AssRfYwwt5+1g+Uyact1ePKoLz+KDXmwGNhsgFONA8w6DOBoO9gUwvmLwNv9Wucy+swF
uNNn1UZiuoM0Pgp3GwTi3S6wCvdPW0HJFfoqSBXXHqh8qyFjKefAlycT4CLMZk1ySGpRQ7ZDlYEI
kqbG3Rt5OHGyHs/DSw/tMEwFyBq/06MsigyF2QzaYCMD3O+S+aRfzJXWmMNvMIEVhw5ihBcTs/mV
YSWCscMMTyOPHkuyZHptbAazvbpMaFHPNK7DpIkFfa1k4b7rLq5OAkLUF3R+kq+B6bnaCehdv4nS
r+dlcn6/xKq/Z1soHjUoVQ29xpofo6rZDd7UJ0zUxc3KIrBbgGKPM17C10Xq5WbqiXiICjPuUXx4
CKZe3pdAds6TYEEGl2j11EUkukWUF2y/PJ5okA6m9MmqBijGZOPzSz9uI04cmd/qQn2fdfEOMcz6
OBuad7DXQjiQhCDiEiuW+OesINu+Bq7sQT2CIHGseBkhoP7iKtw5DemmL1WjdZavIrzt5ro/l03U
PtZ99FNHBU2ZmeKnAePsQ9NCm7/CIPsBd+KGJ6hjRzjyBGLA4um8afC5kEi4lxqdbokldXFnc149
QGsS7sBqwnfXBma6WSE5y0YCWgPtSMXjAgAgC00JqQ8MBeYB8cjN2+BZ9Fi03QRHF7TeVvXj/cId
9EZy+DLTteyzFbIyjActgrdWdLilo/NsX8/T9loIOOTQ5kLTugkxAyHb9itULOwWjWz1pYHh9msp
h/x7XuLM5xpzGh6ry5PXvf9eYha76ya97TYAg7czGNlPE6Y8mBshodtvoGzOYRSZ2xyU3efF4ryX
pp+/l+XY7fJtKl+9gBYVwQ1YqYNukbdKYlmDtQ13V4mnCoR0pQKziGeKcnxJKxivIOGqEe9bVLdd
uOQvDRLcztzk1QvpcV1ZeJ+xCS5dpoyvs7YIgwcZU3bO5eIysszN8+oNu4VPtvsZwc0IGwrt2LPC
PHlHWzzzEtBR4TsEptiwoDgcL1TbGKxgXukjwYUW7EL4AwKohOv5yzzUk85gfoU3djVQuah4DT7V
3JtnOTL7WpEC2Iqs56HL1njoID5u8lc30QZtwRrny8X2o3jYcPq9bGNXi5sKlkzY9EQbjfuqVvmr
nhz2Kz6X4dsiOvHSw+2e1lL2ryuE4hnLqfzSC4A0vJ36G9QxYFNyODvwA1VtBtt0sy8XGT2BQAt2
gRj5Ea+kvR8Du9zC+A+KsJ2XS7AgE9gyle9g7GuOfg79fitsf2MVDgzw3ObrKGm513VLnnhT87SC
kjMJZDrhiO/Tru+79x4K/PUOqsqCHwm46gTebe/B8OngpcO2USSmXsufkAuD7x2p3/nKryLJN9iX
kr7z/kuNHTKDARf+QlmSAmYRhxh5SLawULPCRu0eU8B44+lSfGNxGTzLqsMFhAYx/AzE9k/wLtgV
QJDuXqJ2+GlrSFggVPfd6zbm/mePGfRUcIJjKEcceNEOfcYXQg5iLd9qDWALLiC0YPnXZuU+m/Bo
Th3836krKnodxl5wyPRnP9pP6CNiBz2X5KKrSeHdhAh1jhueEbhi6hnG4GJWT1NpI7Se5xBN6IhB
OQg6G8aivD5xGJsvDpaoE1gfXA4EoN8ZjTfQKzXFf7N3Jj2SI0ma/UVMKFdVXmn74m6+hK8XwiM8
g/tO5fbr+zGqZ6q7gEajgb4MMJdEZVVFRKa5kSoq8r4n9npMFfus6hsyfHnAUdXxpBnLZdKzukui
Od7S9GBbth+KnzFfn5+1CaEQZGVV8Ovz5uLFwr0jkV7uyYH2T+TJH+YlNg+czeNTFhplCZ9jt2Q/
XJgTg2EnM+f25lritvaEPkg6O3UAomTa28wo0xuVXcGknPfVXSyVR7erc+MoYO1ZtNEpF0+yY4tD
/23pt/YU568C2a4XgKZ7j5QGubMByAlvwM8i6EeJJAOSg6SwnWztTohAhTPPZR76QU9qO9z3iDVL
Dr2qvTgtvcSNo63wjdSotWdE2H3Q4BeYCHTWBV4MoNEB0D3aiW7gpXFjVg15vtgU9p2oDcb0oV/J
C4kwebSrLD1bydxd6l7Ul8RJ1BNSmnpfjh6dPAtM/301et5ornX9zrU7ShoG89muGQxGBotTp7vI
mX/5S7Nse7YygipZ4ttYouw0hEv4zCqyMMCUYDkcRyg7vUVl+wgNPSCnWG5+R/cttgDGCKsV6m7K
+vpxMSYyJhBa/E+GXR5RrCxfpELkuXbr9MVzsUrw8mZznWWTYKppXpkBD3V3405gQXvD/WyFGKi5
pHO0Ow6zHvU/msiJ656pgtYyXlQ/dPBiYwWIVazsZB1PBCjy6VGGVr5pZmWcWJFcnw3EAwATZfMp
wMa2RlQl265I4X/97sh1/ZCZRXMbREVgL1N0FZeJg5S/dU+9o4prPslxT+a4ltsyTtFCzApLnWPH
POPVQLvBY+vZQWdNa3LwWMO9CZb4SobDJKVRYp3QcxoHdK6WCCYdlFyCE3FPHpP6RwbzKPaJ203z
dpGkgvcGeFR1GeLYoiVbY8AC6cv4QkJXG29l6nRnJeKU3jNFdLaJYdueGPW3yaVCf0zweFl5St+g
2bu4njtu0ybRv1MJM7vo0fvEXOA9KZLj5l6WudHsUiigfO/apJGAN2K/DXI24OqN9pX91CmHEnn0
E2sIMuXXb9qx05+DIeaFcN0onNPUEcg8L77j/GB7AUkBOxwPBvml26TtJAoit+kemV0BvsDDq4d6
pBFnDw4rF7L+wyXjtw0VsI1p+v6nUdnxvp6nGAZN2ueOad1r2qWAK6WaIPy82NohGchppPQnPoVl
h+hhuvfAaFTgVn713PcDAEQ448WSnntWOEAebBactNuUse410gvTzL6x1TddA8/FLGD5GcgMowNj
Is28JbnQHukhN4Qkomp6TxRhTi4j1nyHhljudPyY1FLrbVR6/o+sD8trRO6fRGmbbYliTnehxUlw
JH5eF0GyxP1PFacd7NI86S6YqmIYArrO7qOqbVDZepxzf5vImXW6vU2ndjtULK3d2iSy9hwjILKO
3z/aQLZvNM7HR9JJJQlpMz8kpUPOtqtBRjIISrvunV2iWEm4rxJrBld20xsDNHD/alTeZw/V/ZFM
Xn7pDXN4aPFwNLQgzdi5NASDBD+CnL/GynTvsdague+lMbzPS88g06O4RikypQcRJ9NtgnpsySmw
zW6T8UE84ssgChvVVvQdYubUm8QxzecopNEbJIUonlOiUbvJCLlAg365HKedu/H8mIvUVNjufVuZ
3VMTVeLJGu3yBgZcpiRtk+ZjmVRy7y2ARcHQKO9OdMYavCpZaXgkJma+eLFvgXcSbt0UTSLioNP0
PwOVFvKMnyr8lWTF8lX7PDy7MaZgI+TDGs3tsMTl1oNXZnVeO+RvfNsGKPM84SSg6zndOnSUv0aj
X19wPEQuu43fpLStE5GV5U5YJYsUY4wUDPlJs9DO3ujOF9+do9sY3QknH2CX8eIZSf2IrEeepyht
yKL3LAy2Y/2bfG1y8PjaNsGIOl8GTT9Nf3sE6rYogbbcIfJ003sou8Ek5dnlvb0dZJU/OxPGE8OC
+VqIin+XaWPXmwU2hxCuKI8pCDs1WlQ0X2YtOvZ5aFk9cUWi+12X3Us22OpRUZ39Wmopn5EP8peW
91AXDc17xAojrnjhzLgjkZ1x7jMx7jSf4XM5dv0vTqBCBUD9/g9jMe1wwyI0K9lVXfwAQdc9VVXm
Mj3g3cI+N4DVi4+05aGwZX6pTX4RBrgkiBZPPnhTSTdBzIX+XGirrQfyYN0pDXAXSm4lQVSO+VMW
w2Bt8IBY9XMYVsvjlDFiiylurkIk3iPDrfLEJq34qbPcemNlk4sjqeGq4VTtrm1NDFnxGN6KYfbO
/LLoxtNt/JxYfrbhb9/jcMh2ZlJNX1yZ1b0mZP4wT8V3Y7rbItMEbOJKbazUn+881ow8J6M9HtpK
Vps09p/npLN2mZe7nIy0Lk99J0iC26gkdqklvBWdpa7wJA/PXPdbNE5VGrQ4IPYD11cmNJoOh5EU
4amnbP+UceU9hEKgenHsqX1yKOi5CeQuQgQMRlEwTIREk8G1SRwD835E2dRema7+IkhjZUHdd+4t
JrRwN3qV8zjRzvgskSy4ZKLCiAiVZnwTa75No4iOvFXDdW6s8B7RU8habf2uy5BUSId7vdyYVWck
G9rurbnNCN8UG3Ke0UUbsnyzI44skpuULDEdzsy0xiRwmLZUgTbrV+ap/ang893FDUvFJ7QHWyFJ
7KhZIMsWtutwmkYTQ6u+Lz49O+zumB3qXe7N6vfQld1lNLKcXrCpPgQwYksmL1esyBCDf9ahSyEr
U+ZW9qK5wVgYhS4dDOnBKhp7q5jmrMy9+1W7Tuls4rw3TiEGmMChR4Kdiz7GXT+5vOR82dQTy27j
Z7dk5mP75vgDi7bzXY3z9DOhbP3RTBq4z8um9f0flvrq+alCvW5P02eTMb8MeCtEr7RIKU2Wgjte
MKS8jAetJHOYrLc5aLI+vhsNIX5CZahiN9ZhTyeFlfZc0nyPBemSfFNvG9iX/HYCdbUJKbt9xMlV
RtUJnrp24KysknBrmM9vjcos5jaxv7dI9wB/kJDbEQepwk0Vgvtue5ksdzoJeXujycnO0ve6czSB
NSMnm+UvMrcJvTzBxC/IporTykrq0AhMf3bv6yKJwSt7O+v5mnOKERrx0oEEoCZ4608Tf0yWORF8
SVX5m8JzzJd8aJmjWGV2mQY5YdgIDeNEk72QW5ewO/8FoWrCyjqxXpjZEuYdGYji9ixd9xvnV3lf
M0F95PCidiGnrIPQ5Wg/9aJY7WTWMr3Tb7Z2bZay1XS9XRWKtfE68iesM8wHdyPhn+2U5OJOoV/6
zpxqPcRyf0+Ci1SMY+oh3LtQBHDwfnFZCmGep7KZ7mfBxBv5AE3yIibRAoq+U8ozebIGZGjp+Ahq
+WDH3cjtunvXFOFkssv8pIzS2PWZ2W0hjIe/zdpNwYTbhP1pvJ2jZVZbKUV5NYba2oQD/2lJ3R6e
WnfiXRhNco/JJ7vL2tHaVb0gd99MQ5dsbLd/R+WxPLbDUF6rrFGM0U1j51hhccpNKX7l9YB0rFbt
tcBSfQsJeEACswRnq/Nx+dVFdnyMTF+e2qUivaoj2sQVKYP9H47jf5v6uUt+YT+rfvf/iv38J1Lo
/yU2yLfgVf5rNIhO91f7n5CgP7/g34kg9ZfNG45khcWgwFGrr/gfRJCy/7Jx9VkeoSzXdiGA/i8R
ZMm/uLBKz6cUtjzLW1eW/R8iyPmLX0HgkqCHa0sT/ux/QAQpAKL/SJFKxxJK2aZpOq7r+PyW/0Lm
NKw+6kq/sA91aDo/0shZtnqOyzNxv247pJM+DGxCi7NiCiZLqY9EFsXVclzdkKfWjXMofRPlT+Vk
b2kcMx8dFu/O9EvckYCqsU93po0ZtLee92YtI3eDkZzFNcxiDsesb0rWJM/eIUJt9ubbXvV7qWT/
BkwR8QK3rf7mSWN6ACQgGtkJY+M0xHlGoazzhGnmSXdjc3G6kuaG2UmCERxFhAzktDUtw36jnWM5
3Je79JLmvt0FjBrLH1kSLuKUJY5xYezOQNB14EA2sTd4IDlF+DJVKWi3a7gXz6+Gzyap8eqlBkFS
mIc5eSVULl5Cdx79Pbw8v7ddTWIDV8CNI0LB9O1HIbQMssrqzOsw2jM1wVVopSTyUuiSqyhSUpct
7ZGgqGTBQMmz20ejRvIVFDqZH/G7pfuhkOVdqZxsCESmY65Vg1voG/y+/s2M3ngi6x/S0k7C8as2
kfQFsUGFQ192bu7jiX4e4AZCRkosx/CwDAzZY7fM88lDcAbDQFyOswTEKRszhIpUjlebwMwpNc2I
pXNMdPaFTP2jpd2WTcn277jPZcO/lktsp8yd9pgaWaODyhdabaZe8NMlXENtQtIn+US4lZ2AyOWO
/me976Qpn91KwC4xZ/ye+zxJ+DRCfdBGav+qYUY+zH7wzkadRheXLt4jt23rhWZTe4eqIHW5WAlp
7Bndp8Zu0kNZBAx5oo7qgAugjgj+5tnk3xBM1rvGzcpo41ZOcaavKnG+pmSbSa0/Lm4tL3ZqjPQV
tftZEE/9wcHUPzuCdbBHFoiKxwT5FHtDLXoUQepO/r3gAnOrPa5E9EVVf+e2yr66jbROwjQYS1Cu
6pPuFqsIynGlxlovK44mc8zHJNKgLpk/TNdw7J4LsYSfPl3Ts5E5zodsC+8ijTk/RlZr8TFVpn/f
aj6owJWl6gL0Bi6dSrIiJEZ8WrOBV3Vy2ZsYXcpAdYt96oaO1X22x4mZ0Gh8Mipv2as5ZdaL8MWt
m8+6LkLSiHTZmn4wXhuHuqP1q7OYtLFHqEU/cXZufeYwwnORB/scXGHrvIVxskMU1e2rSrbeKhZg
0KfGb7KRv0xYovvCa5+btv7tJwzyQxuGwSdJU9cd8IEz3oom2krKGSQ7q7jI8riwerq4hW7Bt96T
1P77kWBNSUaxU0HiTHPQV1AIEy7XHp2Yds8tctFR2CMvBBrjzPn64gqK5e14DIeX0nfKO0PgyCMR
TaLFISD12HthSEMCRQtVmjBow0bGxBglVfTmetUbA1/XKP6VlbwTt7xNkMFUoFb+WS1THB9szYcT
SDc3sLKokX9IfhFXncqO4Jgme9TGdXR7Co1Ryew7sUtNKBGTA8Z4l69FPx1I2ToHMThi50QNE/FW
LpthFOJQRA72rmgJwxfJR7vRPRGqsSYKS/CpaLdZvJatIo+aXZn2eo/xggLWTcSz4ub9qXAmgZPh
2bqgZKhOJGCyh5AW+B6nQ/KbsiCkwZG5jAeXXsz7cUbykdjGOAWLhYqW8YP+qJ1cHBvUWNwyliw5
rrdv4oQZVEvRSeuuZc5H+81Pjn4Tte+O1bp8HWZsHSHAY1FX/Y59SsOzyM2WsbGm5EQzRq41lfLQ
6abneYi6B8b6a7FVO/pnNJUEPiz/uETuxcyy+YooMH9vrai7RNFEcy4znnU9ZKe0VNkTabro5mGk
vFlGxtS+LO2HprzWCTeNYZgfuOzgvZP28OL79rAnplNi1Jxkc1qy2rgXXUmL1ObbdBtJY17TmDf8
JiMYeOam/RH6fv8hWeP5SsesuuNjzh6LbHE+e7f0sm3TiqneNMS6bhEq0GuMtDANLDZDblPd20Ap
vQ/vqOj7Fku5bEfq3J3j60s+L1xAloEsMP3kSwvRgCMu50e3jCyzyrkwPDNAgk4PETe9MXVhalaT
2ihixz7LHB0luayl3nRemn6jF9U075lDBAUB8ufcQVer1z9bMtF96AmjgIhhEbTM2vtljvF88MKI
V5+ihbWxy5wBTG5OGDQcG+m17CK6D06UH4aR475uG5LHpsf0LRufYr/DSdXTMD0o/FInf5kjxLxx
vUnCMH8zSr280CG1rguIHS082Vjn2gkbvSmZVZ0iYX93MxW5wGT6ky0H7G1cqrR+Qa2ELdah9MDq
17TyOtUqvbNUNysunhax7+IL60jC1zhL7xELRjS3OgwW9KMjELvRzz5JFRKxymJhG7sZKe6jdJTZ
n8YmWX4A71rW2mrTZwgi75WQ2fDCFspvBhLVckjCDsdGlNs36XfR34zbo33pxVzHZmtC/dI5jkN3
1p92TBus17SV4w/Jq+YrnNj7vimBBTAVZ4IYpkzd+gWgM/87t/NswyLvnDkdoGhN1u0jTi3LO7Z0
Z259UxNa4yU6ReTpVMXqKDKOw7sfRj+5xh95tBRtOD/dFWiWA6Rdx7IxnwXjpABcbDzPBPDc3GsC
QSNso/S4nEp60RZSIR6So/YT9zKVqfc8lOx9MjptITX3+xPNR4oOd8m6n9gs7zFF84MiCnGyyKAd
mpTDNGhAz7aQxvm2dK2RcRLfacwnHK2F7e/ZITm+4BVlw8PCFls4jPYhl870kqFW2TJUpbeQl96m
7nJnB51s/FATNj5nxl4mLPXIaKW4b8eIes9O0jeTnuZpQH+ya4ey/kZvlR1GdgPtIsqtI3Ih/x2e
c76Fpld9DyBm+7EjFx2MuGeeWyyFR9ZAUphY3RGrTHyNKz3vMX42n6xeYaZkVt5vVBgIe0P3Vls0
xguD4760GvPn/Id4TP7Qj1yz7DiYByO55H/4SMy30+8wFCO06spPTitKCbDGi2TFKwtut7txRS4Z
txHfL8bkwVuBTCS7oJm9ySR3xTV16BsHNoAXGzN0vKDppu9ixTvRS99rZfdHc0U/5xUCVSsOKlcw
tOlLgqF6vFJ0JtvUL51bvoKkYc1rvVrh0pqlrUIm17knzQF9Wpv+TUZRty+qflXMrpBq9YdXbVZ0
NYZh5Z2IZMZawdbiD+NazVOZbMSoU8qIFYOVKxBro/59UoIJ1AeyHCXPQ9hNB3zePj/7Knd+U2Qh
EqHjZDKHTJrDNALeyj8M7lI01H5gYv43zQ7T3NMqWj6ZXo3PjA8lTihNo7Qz7lgj4T5RTM7n1GcY
YosuA4FPfKq5FfxVjGNmhNYmOOSIkvNHnpnREcNvR0nph9uxTy/EA7x73ghMsVak2IusAR1KZCfv
RLjsq1UY7O+gzlzu2z9Mcr3iyTmV9XPVWu2V59XV1F5AzO2KM2dcvscAWlvdOX945/oP+xxS4W6x
YJntdjLL/HkxPUDzmpj7R5nFxdX+w1GbK1LN7K3cInRbISEjZQVfvOLXmdW7kP9FB2tIzhxCm8EQ
WEG0CKaqWVjHbyKLzUtb130KXAPkHUlKDEd3pyrLi/uB3H+O07i4swZPPrLs3SEXLVkWx5y6LL5x
q5g/o1orzDOZ/NCQoSelfEL/nke7aoN0kdhEWBILRbKh2IVXatrBRkWMDlJhVD+6uaWh02btvJuU
lOSvVqlv42Ll8nP2IdSMMozYNzdzGrYH3lpfhMH6AJ6m2sbKiQ/MwooNuC198ejBatzfzUrQh2Vl
nKY0ZLd7YZwYxx0dN7mn++AHg1czyk2j/lmsAD7ZfwzvK5Sfsbt0A917MNYrhpTFkQ9ioVOxLytq
Q/5Jzp5b/hYzH0kSGUfLm0TADwKC2uPISZh0rZ32N79FYEtk9gdgPAwIC5Mhw2TAdXDct2l/s30L
0fqo7uBjmHoI42gnWDC5jPw0QvuauSnOIRywC86zAOPFJwQxBD5XM7AkModaelsclXOQVXF/kjTD
d8VoDoHrhcs2BEbZ2uVAF9TR/HMO7IDy/JElIaw5QuyGaW76gqHZdjo+Im2Kt5VT3hYYk4cRzn3H
eHu549mjfW+H/pajh23D49xi/Pct+5yWXfQUQv8dHMw4G9BnvWuEhhJyEqanEI822ze6jKLUmAfI
fjd8RMxihhs8l7O9MXytGgCivr16s06TDQ2iaq/aXOKlXOeEtjMcHUOGr3rNszBXIdoS/4m5pGvi
ZfoTflnWHEz+JxLjRbX/Cis0ffV2FF468Aj32ML2U9C479FY62jXoxxLNyYOgOksbDN58upoKnae
beNnIK9MO9UXb4i98+deRDXgZut4AvY0785SShC1QSE+w01RvxGsf7ZnvoqiVz9gVdwLLxiUjUmt
jlPefC01LFuDeHYHJ4LcvvN3EATD39aM0I/qVKh7nG7qyB2r7Hnk6vxjprtHbh8QFJwwHD55spJN
4tYowIoiPhTe5B2mmaPaTbjCWdibzuliTcde0SUIFPK1XWK19QV4jwYD+uvxNUKh8lEhYT8kXq9h
nkCeXxSFixNEHvuLghAq/B+Z1f/ffftvknkk1dYtXP91++3pKyV7F3+V/7EF9++/6h89OKn+grqV
DKZt1uTZkm7aP1pwnv+Xo2xacK4w1wDg2pz7ZyjPNC3fV75nOcKC9/pnC87+SziO66+rE4Qyhev+
z1pwa4vtn1FPYnkWvVmKPgnFYYOg/EuIFS/zRGu57/YCfio/GKzjCO+sHHaK+GflnUrFYRN0VDHE
m1IqRB4Aaym3BTeje+LtBvcDK1IXa6CLg0DVvnqNT6uqmLn6bBhy1wu6GSZhgP6Fpa9+Me21TG3m
/I1EnsTbh6HCMBC7iyLXGDc6cUJE6mPbbhNmAScuB3W707oo6oM3p9nHkkwTenOGIkDniGxYTsKw
u9sIRNZXLuXeT/Lo7FCTPqZYGMqHJUPy0hjK2BX1km0Iw1W7utHZ02DVza/BEsbXjFSreBF56P1k
jFK+W4zA2s1srTVD4YZxvI+YG34PQqZvuSpQgDTk9TDnj/RjDhI48rkTQh+S2W2tq5CN/phn4ido
CacPWzEMovMo6nsAmpZxQmmuI46yX8DMMY+LLWMjlHleGkFRD0XCoH9oTVouEfqKW9EiCSdxqP2P
GslY9CVKRf8yqWaD3R30wJABOG17z2zEZTWHma6DmHid+fmlce46O+/5TQe9AB34g31Rw9yVB9qW
lXmq1qii05dgebpP88Dq+45/gQw1dSCmttg3aZn+RFCYMVBw6gdWoznfsWlOL1g0wUUxcwHqjlNT
nutsIW+CzG3ahflYvxZdyW1vURWGWVfLiB01TYV6EvXJa6yj/hUOGn9ww1HoB83iVE+mx9x6xz/B
9DqMff5Q1k38yMwjbffh3PvHOOm7A4x89J5GdIqYxrmJVFuyVORslNSQC309tGePxDLGNazx5l4b
LPo4Gs6QfrndwAiNXQaRfTFlDd/ktqLkZ2YyiCyEED+gNKGIQ4UyJ8DK3qC8rzp6Lv0sNbv4ZtW9
as+jl8LJNn2kXq+uaeIDdiQ+psnd0IcFC5h8VgxtwFapR8w2KZnOF1XbHMIxXbW0DZfvLSXacMAK
ra9d4ViPNJLVS5Z2LJ1hCo3lsQTX2fhDsTwwrLXzJ2RyjDuR9RwTGjAPZrz0DL9E3B5ooLsFSIUq
P0rM0RdJLM7YmhCSv+peSFItBR7+Vtv9OQlnz9mIiUBqS8ps51P6fPhRyjCxMBOz2VQaaHZbD9of
6ZuwxttruMAptD/pvqKRzvIHofvNuBg2RfTIlglnsaBn2fjhv9Pta95YpKV+eoNyLnJEQ08yhd88
pQu0cSr1piFTgczskbXmvel8STfxxC1yosrbFfnIXd2fcn1rygUpV6a1c24HLuUM6YYw3dttrd/d
Ku5+xiwNYAWTRHx1aHkPpHuqcW0fs9lC4hJ5gj85FAMwU+hlMr40EAnupkqkHoOYwSv9N8+v482E
DUvskszuioA2+3g3L9OaAeI214MdmSGEZah4zGPR0zLI1g3qQc0X9qtyjOQrg9UNj5Yf598zad99
6kf2teQJX6jsuvgXU4fqXsrapZ8olldsrh7lZGg7v1pdIPfnTuBcpgVoiLKBTr+xMMpLgW02Jls2
rspMoxe+UWioCp9vZcmAbc9hMn9kes7vm0iJcdOKxoHnyCLr4KJpIMwhh190+rlYRWBvczwXGEKn
DPo9ZRZ4oV0weNco95ZnXjZu8SPz4WUV44V7C302f4Bs8JlFdfaezHaIBbtfK3d0dMZbQ7/2Pht8
8VuPMS4ZlSI4gCVpcgn+GUFJWNV3bzc+/eYmscRBmbwdX5FkpT2So8I29nqgxjvQU+cxGx2XDEdf
LjD2rZz7o0RswNjTxNdojnpmFsGT4nRdX+46jLFczJJPoJHiaOcJagGr1hCnun7W40CgmA4Q43bX
eKaK41I8Oo0Et0SomJEizi0cgsvw5dL08o7JZJcPfmZYEDrLPJzMEgRP5s3yzogB3aBJAb8za7sq
qTZ7J3kW1KAu/98weW2oQkWgYxBhn+P+lE0Wrs4MkxSvo1GY3zqs5a3CifC5GiQfrNms9jaT/dc8
AjB6KOKeBQzQDS49TvRgnymi0CNTqcne6LFOvj3os02ctJXC2db4E4wJDtofkaGH3/SFrILRcdF8
uq1DvIFUJG1gMGvMSgY39E0yhS4AI2OdXU4kh51iwwxq6C7hg26HRexkEkYkyHvJW4v7qPfWoT3l
4GbvnVjY72IVPkZUPyQJ68sJn5dlHSM9xOgYNCyyqYZdHULdhlmvP1C0jGEQsdwlps22Urrrc2iw
bl2WV3do136U96Sh1ba217xVETODcIV+WXuiCFu54SWxWwzVU+d8TysuHJEn24DXAKkN9bylufOZ
oVgIwkb+jUD+Zx85xsFM8mrbh1EBPdglLI50o8l56/9wy1wq+dbG1OZIcCtivifHczNEVk6T1ic2
ztKOdw2M8Bvb8MjSR/lMfD+SuV72U6vYIjLF6rv6Q15bZm++xrUylqCm5wsFnuVqul/4+nwjV0T/
PA6UOk6cF/1WrOS306cw4BAPR7rZxo5UVMJ3JR8ueuqZ0PNAdFvg3ZT4aS524JXyKXNNsMghzLfh
4Ge/CkS+v1US9h9cqVEVL3P30wB22WSL56Atp8+O99ENvXvpVV5Q+mNp7rI/ALz4A8PTxYMFc+IE
PpohDY1E9QelJyg5kJ1WNG53BV+YaFvUaUzYMVz5/KGNplOdGPY9V+yFUNNkA+pUprbf6dtnKT1Z
u/tbNaEFZ09SK3BUnZ+KovNtCFExyD17IdRtWXIsfUvZ+nfjUvtX0VvzvOlN1CAFndWz27YGKe4B
WrG2Vt6vx7D5KSzZp3jNetZVaEMtvC3oDcoDeV+GFb3Q1KGRly+HYnZDoqB8yncmXn3urZlNRt+a
vHNWtOGmtirF0mXP6l4pohAEZL5p/SJV3r5rAr/nvCBMvy0txYxjHU0Q8/HxIOaA9cZGcp81AzYj
pDctzZjmkef229pDubw1s771rkPERj63NVXK60xY+5ElQpx+iyQiKibBn2fRRb9zcx7TzeQrhfQw
9x5Hf6lebc+Wkvh5UsFySMkGsUanx9KMm8chRdfLigOLPgkhVYqCpGLQS9wgJKObdi2yQqujfiFS
/mjVhfcUdi23wdDy+jaIhsXmZsiY7KcxuAhuMjvXYj906bZF0bcd+pj+k0Fh+kgUZbzokI+HNVnm
umMlXlxE1VTFvDIQqB7IdWTNTsXgyG+Rm1Z/W21hJU9ZP/O6iMa1OkrjeqkPoe7zLwoFIvjDNEdX
xdCNCVXTzwuMlB8Vu6xIJJ3uJsVnzAt67tlOFvevWejQzoAf6m+6ImpU6mHY8Qi0fxfaNZ9GOqzd
1qz9/DFeJuPFaoT/aqHvOFiD7/+t7UG8cF0eL8p1jY9ZhOCsYZMuj2OV6g/ev5QLTtMDkReqSw9F
6RCmGAuhTqKM5rcqmQH+NWcMuTKxcnKZw5I/7NV0h6s+kRC27FboNkRw65xKWWTOSRikFIMuwel2
VFT/Z08O6KmrIbZPcEJQzXQ9WSmAmqGbAyeOm/kQ2nGUnEFas4urnbk5acdkeQC978bYEnnwfw/l
UPzqWqWaTT7q0tp13KVenXSOAb3jcWpNENgqMQDM29g5gzG1TLOMtE737jKOA/4C4uDGV9V28jiz
F0BVTCdhcU9xmWLp2iwD152tQ+RavTfkXtSTC/vVHRDBW3j2M/o3JHlD/eUSt+nmyEv3I8vZgn7K
AX5QVyCFJ8l7snme+GIuBoh67PWsVdE0cuz7pY4oWG3WGuL3dn8IzpvlnIVz+IhzsCHNpU12sXAi
+JF1zR3PCA9xMep8V6iIze4CX529sWkec1PJS7elj1/GTdPcxUtFeVSzTY7NpmZdOPd9apfh2SV+
E9/UKLV385gMQRt1Sb+FUS0fUUM3xlW51CQ/5lxYy8FvZtfed9MSJyfXTJP0PYnqtjjihZznfZ1h
Yf4slvnf2DuPJcmNdEu/yn0B0KAcYosAQmVEalW1gWUpaOUQDuDp7wc2bZqs5hTnbsZmMYtesbMi
AtL9/Od8R//ws7xwgnaBTf+5cJI6JpORGC6LpMFijtvDM5BZMPU9y0w5d9kOeiVdtGGymPpnkqLk
meUgFRjouDXR6MTiX3h9d+pYeMZIvrAyZGRCOTg2TK8OQ4IfkGWgMz+l9VBVpyVzcn2jFZCJrO0x
ya+N7Sp3R9sSk86hYP7daelE/VyinMPCqCQ+W7KZKd7JYf/v/Dp243PdjQs572wwoQDwZiB5AXG5
7D/NBcvttpuX6sqUCb4tBX1iBf6qBq8913q9+McY3BOjb1G56SsvKac/2TMlUjzllLowsPPAEWZZ
P1UvKebf/IvBPdw8JOOwhLXTYuSARp2xtSMPeJ93vv8pZ3Fn4zocyDIAY3Ap1pXZsh6NxHOnm1Sz
15JqHeHawaq5w941Zcd835PaTVYVn/AZxKzIjTa5T4uWdyJ65GfNmv00KPX1PkemzCeUyVBmBa7X
0leASFYLPkYxO20aZjGoW3OoeE3VmFJ+rBlrvROJfnZGSAxTSlomXb4uibSwLyiDWR9uz/7coXg+
gSl2dvSuMLQxxVKdJgArNgjE8hFkDM8m6LTFTUKYnMkfzXMdsYIFIT7RkukL8YCxZPXuMcBuHFm5
OMvZ1xyzXiZo9cQTXvHLJZwPD3se3pnEuKP1szSvjCinhHlASS6X2TaImC5v/DpoqnSGU8NM+DAn
tfut49FPR0Bn9i+9YbNjKmC1fjBBqsm+l5REOS5IzRbgzW7Ac+8EZSJkGa6VsO5EmViPXdbYB9Bd
1Sk3F30lvMXhQNKUN1yXwzNH3oeakuj8fePiqlVrf2r1GtNyryevC4Upb0uXDPmB8a15nizDPY0k
1owdY5kSl/DktrtCQo/fuY1BW4eacMyEdZdr5a0/jh3PJcurcEryw167pPBvQGAuVYDZGm2p9mKw
DJRE+uGW9+g2sAf+0DXL9SlUI3mY0MaAH/3f9RZuMur/wpD9P4IUw6eH0vi/Fy6fP6qs/K/bj2/j
n5VLPDDbn/3hHtR/wxuIKGj6wvMBhMEo+4Mn5vxmGrrpOw4a5B+i5h/SpWH9xjwd44pu4TY3f6dt
/eEe9H7TXWHyV7btusLyded/Il3CJfuLcOn6lunhr8AFRRZV/xnkKcnWjKjnMEqT9t6IKwRFrftc
2Vayk6wgtaE42zz9j2Bb0uBPR+r+X+ron1FmMEV++nBPxyApfMRh/Iv8op/glAhLeq64zSKj1NZj
PBAJ0Qa6JeTc4/EeMQ+tZW5eeGSmh7HVM0LZhv6VR20S0UuWVlFKDkEFgJPn24kaD2rLZnHDDn9G
msmscye59zPZ+1eLrtgQWNrU0O6yJssxpkkvlq37wLJbFDT+gCDoHAIAKBv0cJj8g1SMMCPhlX9n
N0aph6PTw1qpMIZl2Kwbmir2pUOMJxBlb9269qo9Q9Jh7dJSKfQgF97XmCS0Z3e1553jNf6dshJE
DdeyrwnzzUOmactLnnV21LlxSSBvXoO0dMYDjxRx46MRHESWzacVh4O1m6XGEJpthFYcbbwbFxd+
ek9COxvVScNfZt10rOPagw0t90BvHfoUBBV6PtPF++zFdm4hk7bmI9INFbJw2fGHgS7oWawvxwXc
zgX7usburEurB3Kd0/eKrtJPKCl9HuhCq5edzlIEN7ap1LtKGFwCwlXVE4UZxJE1EcFQTpk7Djde
TY6krttjksv+OEkQOHmnfXZGnZqFkeoPUnYziJQR40NQFPmY3UA6mYfjWs3z7Yg4xMkqipvJm6tD
mTrFAXYFDZd55zWXmsHBKcWofrSmVD0nRDQO7LTpt5TsPvsehXodOd2UZOsfWB30yKlbnG0+nKRD
ofl31dKpC+p6soef014tjUWr6dJGJfDfBC6mgSN8lDzyuXNEOA+jcVkgD7UIsPjfSb/H7R6uGqdf
VpAqxtY+JTTPBbVm+vvJNpGgh7F/cxLDeyOYrl/B4XFNY5rC+GVRRcR1PiQERVmV21drkf7z5JCy
SatxCFXf9JEFwQSBwm/R4bqUXgc002cs9aUfCHycTx7BcCOcSAwaZCV9rYcsQkMhCXzWWZ9zb7TA
YRFw1znEer0ReugWi1JD4VCz1w3iaSnTnvZVlq23Xu1aX2o7Hh51q2YV4sJzOSx08DwpK3a/EzCV
T67q/ZdN1KamMx21z3lmzpdsrOxnq3B0I5ybuXNv7bTwEcrmqZFsw0Ws9oamAfzyBQlIWkOShBcU
qbHTUCTqC8nBjAY7XDeXXBrS+OxhKTqsLh1OvjCYgYLay7/0syzvVZVj6UqI0PeZKY4kuk8YjgT7
CPVj3VbblZzVvqgt6weiTfstm/v8uCQiu3aYbk8rXTqhEbdo7ElnTbf4QFuAeBmv1HE2hhdHmf7X
nKz0aXNdhhqeQcyacPqop6rEsdC7vAszo++vqyHTaLFq+WZRNxyVozJuaR0XH8Bp6v1Id/MP0zGM
SNWqfqzxjj0xTzc+oJo798a4joc4jTmEs9e/sI/D6jj1+mUg+/We5qJ7bXLLegExb5/ILvhYMJch
DkUxFQx0xkIdWkL8oN5rCpsxdWWG/IqGVyc3qSUTbMh56dkvZpM1KhL85btc40PMVgifjOW4R5vc
xBoZUKLWI30Dqx0MWQ4TyWG8vKQoDj4rWg9/nMQJnegd2w5B2SjoPc3HX5FP2QdXGu5Oyg4ZVM+u
D3Jcy3ga09Uikx0d0wjMLhnJOrSssYqg57v+ZWiX6rxamLv3nY1RJPA00zvFnWd8xp7to6it06nT
3fitt0wZh7k2KY0Yjcq0KI4nbpsp02JwEQsKaTz4FNYsQr2OOa2Np5hdBZXIebE+GF3OltOwQPvF
STZ/1ODOb/F39tSYQmKNSFB/WpRWmyH51vhA3532VNNx972LUS8B2qaRck2m9Qzr6W5fpoUIPJ6h
+p2Lf6UHcaXaYYfg4VPyGQ/MjkbRIZd2anLUrnK7occICtkLN1prfJrbydpkg8LYV+nmPnPwVH7S
akXblFu09ltlt/p7lyV4fLrV/JqNg0m/zeqH9NHKPeZR8tUo7N96a21u9W728wM5E+COhrPG665c
4+awJOzbdvzfshsUZKS0pHWh7cA2QJawuemDBtI+G1vJF8AeSal6la6ojcrYcrpJkVe4XPqipbN4
JGgQ4MfIykNTLIze40SM1c50LHoNPfQNjUF742mBub13PEs0r7x6YlD6CHDjrpmn9qXIBnB9Mvep
fojrncq9gf7pcr50bcwLD23cDzD6DOepITQWlKmlUUDcVPU9S/IREz+3Q6sV7s4oFnFPqjFNI79y
rbt8mpxbluoSQ4VZX6pFIl4gvtzQkKwOaYHiEzCXzesd4EVSrD7NvI+aQbABsW/FQYgHQd9udI1F
woA3LNF971tO0wEIgYWSlgDffv9DEndDfitQCvVh1vas1lkJ+ahe75U92aFHzvxBK5qDNTjzfaoM
/xHrZfJq0F8YNFDydrHUGY+1qYkGUtPSk7q+vPRpkt71bs9tazqa/VI2APGmJSMRXmSSgjNgVXBI
UoeyN48tPbAGIa/emtKvVkdIFryQx64/2HrTsoIw0+dpztXttLb8cWp3xa3ZaAZjxdK6tWcDK45y
texxHoCWIAjqN2m8RGtVVcHUsANjHxxozWrsWJPtMz2pQxawX+1JEyFbmLtiSfQAHiEFMXnL5/GH
zn6ivPKMd605rIVj7mh9T/c2xT3bAKP27lXakKNzegP4WGHaZsPOrW1umsLz3nnLKXZyXFSsg1gI
/aioVb9d+nYmkZVp66NDpycqpEVgApGLL4SFAwpJYBY2jKp+lN8ZO3jDgb6a4evoAebeVwNRfsa7
bXt0mT1f8DROWCPpjmzxXbmL4NFKaJnkdRWrU51R6xnA62e1VlRjzXQDZGe/DOu4m0q736rXBO/D
dszGt0H05httAGXkJh5b/G2pQsE9OYMKiYYOrCjvdIcwbuE+2DJWr8bKknJHJK44JzhIrN1gsvqK
ZK83L3jf+jkysPlv2DHfv+/6dr0tdDkdZe2S1tl2ijq9fFRxOd773Bdy436OSPOF58ztKZ4zu+BL
O3wTyujGdrfNYYC2ikJ+9wvqV/cTiQWLN3q+PAliTAwR+hnprl5yXRz1uZGXUSO6jfG2aS5pXrU/
BjfhY5hZ0kvGeWH2FfcpRgPwXjzEskmJ/iI7Vaq7Gk4UtnzmJhuAFjIPVnhtwVStz14d5kTWcM8u
Kwcox2pehgULYrEXNGA8TRKWI9lPl+lgPpnmdPadjr4Nw8D052G9OY+TW3ose/SZFbATk2lf7OIM
UcfHGsiu6LldlflGmtRBZ/TziQJead1URjpvps+84JFeuC84BKb6hjIdiDp6pjqFKIfvI/QYJ7Nk
bef2ZoWd8OFhIaTOaWsPY7LIMioiikx4z2TnMO0H3WE4zTnx5Zke0vitLKf8VS7llF0IVDreSUCE
OZWNJFkvO+27buQxQh2+10DnrXJaZjbpuwYH7zujWXLtyCXDG2e7vdrGmlMqVMFsEzzMSWGW5s1q
443wRTxcqiYvM8iX29adnw4zwfVHhqv2fNtOokxDN01i4Bksj2D3+514HnSTaew/7Md+akTAcS1M
Xzcc17LYqRrYY9iu/akrgMH3MJYZtSixQRdLMyRfMMY+ISC9W371ZIqaF6uboin0BIOoFnr49X4Q
N85ftqLbxzu67tms7nRb17f//qePL+LerAry+5GMwSdqa1tfOPjlza8/5fcd7Z+tOtvH4MNjx6nz
OcL/adO59OtkqtXGZ5AwTILk1SY7V7M072inK8j8Ymoxh5p+nX7DF0+TvKk6CnIxwat3g3qTE2wS
MsVYxh+LzPWv2yHbOfiPbjXVLu8YUTDcbwooaJrcHe4RaJv4/8c4/88Q76ydf6nHvH3vh/8KvtfJ
R/kXQeZff/cvQcbXf9MxinGJue6W5vy3IOOJ31BpLAcxxvhdkvm3l4w4p0nSE5GE7JS57dH/7SUz
fhM2xHjPpcXNQ201/yeCzNaO8efL0wHUQmDUt4RpuC6vw7/eBaT8kq6EsnzAKVIwEsmx4yZOFoqs
8OAOLv+yJCKl/T1PfmPW//x5Ni45tCSOiM8P+evnMVeK0Zh8EHeIwIfELPLvYOMYpxmkUOYFdFlF
wKDj7ezrPWzKCYpmnooRaFiMh3cyLQAV2DvCX9+mxs/aEMfBNj2eBuRZUc7cn0KtG6iIKU7lHYAk
fh5qvoeh4Cy6qziag332mQYeGrhxeyTzOUwX0nyjfv71l9ieOD+dC9syhMkU0gG1/3OwFrqQE8/5
6B3abMZ5BOf27IGeeP71p/zNGbf5qfBALB85zt/++5+eey4Hmcx+7h2sRhxFod48EPVHlWE76FSv
/uHA/s1vEhaoLM64MG0upL9+Gt56Q59zzz+Q73X2szeTih2ZuPz6N22vip+OHDNhhEWe6FzD5k9X
lRkXRqdE7B4IB/Eziq3uohwfpyr7+usP+puD5xu2Y+AMdQWNDT99kNBWjuh2+cYZIK9Ky3/g4Qe2
ijXFyot/6Av52w/D84xWi6tG6D992DzaRCh72z00lg2NmndokNInDJYH7v6cO8df/zZzOxc/H0WT
WkbL5onAc+qnc5VRordKN3EPzE6KQE7YmZQb648lO4UTM40ibOHe7dMBwiNRrWbPqCD+QgwKL2E9
d3RtefJAM90UotIwldcFxRCO5ZWhoEf7Hu9P1YZeWoOwZzcNxqAC0RDgNWV/0LCQ2rU0oYWQHtlQ
UD/3IKtK/sNL/+/ucxw+DhkvnWfxf1yPCiOFEkvmHhIqmE85/WWnZRLMPSbxoi0107m4P9Uy+eFS
hQJQoTCfVWJ7/3Co/+569Xly2z4wBgEK+Ke7ImefJeLSP5TlCCXLJgRPWjgwdDhxvz6p//lJqPq8
P0zP8gTH+qdPSttN2cl97K7kEHbz6IFHayqC1kBpf/1JBt6H/7iANlGfGQPeZywc1k+Plq4yLM01
e7xiADaigvQU+TZzvgd1Mz86GheC2Q3PQGmqiFQk1MrB03ECoJeyiG5mdcQ1jBbosh4F0yScpxGW
zYeYOu8IQXIodxbz0ie/H+wLKK/mhshNdqgldjk8TmM+70sU1B2uPqo9Knc86Zg/j21qO0AY4fhq
HekOKTszsoQkwNKNhFGxITUiPqjBxFBUGbiYkcbuamEQFmBy6ETJNJuAlbzsLiaD/4E3ojrZwKoj
vaRNcvGFhqmgc09FN7jvmbXad+z6s+PaYwmk15p4nS8dsGxmfDXyJfQBvtCr3lbQGTOJLm6wd8UQ
92ybssXCXLcfhHq8gP4shpUpyT6Qk6qP3Hpa9rVfM5fUh/xJ09vuztMrdMsZCSws5Az9dabC753q
vPgK6D7GvEi781R13ldHbYiVWLc+FVr+VlN6xhAS9fEmHyTxF8lAoUpDkHxHC0vasZ4M7ClySsxH
TKpNH1gpCUSiRv3dyq4QWmXnHPpOFoSChnbnTWzLECgh563NWKK2ZARxeEotFx8QIdm+YqxGwN7x
6OIV6rJDiYr1nSUTxwSg1yWlyjdo8B5Aqic8GgjLHCH22v2b0dfTq7A9FNFKtD0MTYm3hGXbwiCE
CCNo/so+jSNYbdVRqiEdYV+6yamiptPZxWTJ1tfVrbz6wT6yOw9oN2/GsCBnezQTX5KL4Xyb/cTh
m8gZfTDDUHhLfPDf+mSQ0m2F+EQt0nJDX5T9iSIJWmc9Ulp3U9LRmutNbCUCb9TZ1vPwmHly2gvB
94Ik6qvqxVC+WnSmghXT86/dVrYWuLHgiqcAsyehy0KIVKhqo5QlDh3XcgeN3/2xJqBNA33MYATq
eBryg2e2OR24+EgvZlF159UZnCbMSrVwCyGhpLB6D+bKAifgeVB9cSwx+ViEmJ/7tuxOEmUrsJJi
PE6xPl+dVYODltuJf2ighcqdXlRV6NXxbTHOyRHmH4rHXBt831RBgIb9Rt5nV5kOiA5mQ+vFpBB5
xFRzBve+TaLr6smqFTmnbNnPMPefTZ2YLGTgYd/z3Y603lHO3OEJ94RecX5nTDzOzPVRwmf1GUaN
zt4l5/c6WR68haX7DlC8i7KRQJjEZfLZj31YkFNidSfNkFCXtNxkyjSRezBWAVoQNS7s6JXFGuAV
wMJqOBk0lOKuIdaf2wSWrT6rPnSZEB2uDXX0LBl/K6xVxAzllcLWxaSu5BQ/xa6lH/NMKyO1MBCk
jg82fp7KrxA1hgfT75ejTyXsQfYj4FX66fdIaVjSGcrMEwtECrQpIKWjPZo3C7McczuY2jNTAg8W
rtchROII+t73iYcXNH6BHw9rTxrJnYYl+kbKwf+AL2i9mKsgO58klgiQOMaNBo6BWRfNMa0GbAUC
PCHtoAkdusYUOi2LYwKI6U3STu+eJ0FCNjqYRrF5qsZxxB271tehpFRl19pqDZs620JIkiCBq8GU
s8ccjjISNlbX9ba3ujQi07w+mZ3bX3GdZV/mjCeuToZux2s+O3RdMd/3U6NwJ2jxewsuDI/f6r84
nU0vk1y0sKbz85r4+fvo+M6h6at5c8Dg2IJnVlaPEO3xJaaVc1IjEeS4yMNkpfupHLHBN5ajvjPg
GJjdUTu9cq9pxjuQYetql/1Vxfg7PAAgu1npy86kpvqCCchOAsdLyz1BNrhNZaP2je23DBcGNhSU
yASEUSc8eRRH76Xt9gEF4oA7au3H7DDbUK54ZpG0HsYOnQd65KtyQOYbhiMipRrjatfDQ5vJi5UD
XHQNDcQeT/BDHNcfRkNzARU8swUDhSlUQ9KDSD2CbJhmq00vr8IUNipsm2qMH2s9riI3TsD/e/bV
bkA6+5t7FdMz8WY1dp9jn+p6F0/yzlnWewCp3j5X9NgEzqyc99oFbUqocdmDr8Y06+lwhXdbezXL
qqVuX1iXzQ9mnVlHBsjxQWakIUlrx7ewF4lMdJr/lPJ7P0lfTcAk5lJyNBxSbjzOO2pHjJJW+9Dt
mlhn0COLKXIajghRo9W9L+Ef0DzEw+ttSmX/Be8xbdMdutZ4SnJGTzRrVvVu6NcfCwU6AV2QAH3c
8QPjcXPin1uDwZv7PUF+kB8Ej8N+KR959of00hq33ITdYYX5AgzWLz5hQOvO1N3AYBzXFQFv6wMp
k3SfZZRRGI7HbazkDZOo+Y5emNfJZGaU+NqLRbhlZ/GSv3fAZ+97KNcUsqcGvRixo7hyi62H27W7
J9PRn9ys744NPZwBwxH9OPRwdGei/8eqG2G2MEvjKT/WzBrRfA5TZwJIbkqHUD0UrhglNlAkMYhj
V+b92JZZWOtp/anx7D7qbBHFlLzgG+BpMRPX+sELCZEXmuFxdfTpJTF0ir6yWajvslxxZDV6XYVM
tpHGcSmzZhTLXtO8hnlkU52oIP7RgPU4zyo2nizD7/ZSX+6hfRRnuqfRCH0LWpphaNPrVBTJD+L+
Mko5N3cduL0Tc/14r9W+fFzxGu37Kv4m/W68NWot2ZcZhROOl2dowvlYHImvzAfiWxDDMXBGQ6U/
EALydqTlaXj2pnm/xsKGVWIn9TkXXAnebOp7wxqHgEaOdd/MWXGDQZyZyQC2SO1AAjNtRI38as5m
eRPXZjHs64Ej4jt5eYiBRZ1sGIvMOJwbErTvi5ybKwPg27ls+m+iakemPVYbJka5+R7MWzgLfeTH
fQ8mwhG0cXTTqRLLoWi0VzrSqFsacUFG9KXU54akRpS2M7Vmo1O9YAQZbimUAkHIS/A4t8m5Zmbz
YrcpNj/akcLOn+S3rlYrb+6tK9Gk0W0HOU2FrcmzuWic5JaUUvJgTHW9A0DrEF8HSBJYOho7QsZ0
D+3wrd0GXo02XlJzKondqaihPzNch6JlyjuHOAXhgEzwKIDo0xhi0lkPjvNqrsZG4suyBxb2Ah9x
HofLSpcZkBYPl/dcv/a5lu1bt46mAvOKkx0ZGg8nMMNMrBhOAoV2ieAZE29ha6YUPRMU+Gg1QSUa
mhrh7hcHw1jQtpp39hsK5EzC5aQ3mAFpsIAIvyNRCsxhSXtgKV9EMGgSUso5TtGJfCuYJKwglfg6
dCJ+dysHto/O3awWh+qH9QhG/WUZIPfgrDsP2vjq5eZ0n04rlczykw9QhNWm9hXP9atpFVdmKU/J
xBsqq4w7YMvfk+K7VN50oKNiRIBPnhmVpAG10OdWuJdMGFfNZM5CJqS/lFK7SK4gCER+QZbLgoQ5
u/k+oa2JtxS9Ie10IORQva3WN6S4cu9BgtgZKq92ZdeCIxcLwYiqz57HJiP30tcvcvVenS7nf91H
0caf50ZcUlx0NjX3NwTD4LyWEjpvlb6kwGvIfTwrLyfn1Z1g8JY70de3llPw3U0Ktpx2UtGIxzAY
tpimqY15aIMJw5xp0j+nur1yysecu+oEquELsgMoriXUvE4EGjVWQzdNzKPT+OgY5nRX+4m4W1q3
/z6UpY9oJk4Q0KszAJBtpqZw46v4C/57NuZs95+HjoKVbZPPLasJ52u6Gu2+6u1dEldiL329PC9F
Sd1DrNJtKeV0kW0xdkxLbwx7kCKhZ/gShlp9NTdAVF/PrFXa2GdzrygLStgi9Cor2NVrrGH4wbmZ
AwYzKfwmW1vTe8j5Zt/aBEpznzwnubMtle0cU34mSLfvB9b5tcPqsypMygFinvlU5u46y39MV+tK
F/kb3eQwpWjsrmfOe6K1epC7pTyl6dry0q9f9AFHlMR7TR1i+57jgg2xlbZkMb+4mv3mlPqwA15C
dLTtOWmyeG1Na7xnFlO9zoihwSJEeQRSYhyJzhFDxY+AORdzP7XwYA7slDpKBJGzC7oAaARm8a5S
rG1d+bmGKnmwHYdfivkMz8R0JwxIAWllUdOC6f+HixfiDsAsqztMpfsFwPde8+chXLDy1OxZ9jn7
n7OqYxZHdD8KU95jXXYC0Xrde7qBWuo0BsGxrk+kShuaDWlHm5Jbj+XhXd9pNGHw7IA2FDvXBgQG
i/6ZfTN2jg7AHAN+mc3FXnfYHHub06SAnA2LhFRRJvUtaYJDTTnzs6nVbF1qSjaVBCON86X5OvOj
zq50AUPMnFLTGNujmWrjgfetfksSlHAQIIxz1R3rZc2xRlG4oS9dGSVwmCmh9uzXHijLqzeL7/Fs
MP4w6+mQlpb+RlPhQNYi155a8qFfFNf2/UD3+nXJABpjXdEO7ZCCNKhmoFpQ1W/F2FeRjYzDCIsm
XL3LCBYoVvM1677efdG37ktCrNZeN/CPsyID6lBafbVlw9rx1FelHlA89GnpWComKF5f4ySto6wz
ll0qWQoNbJFJVAsLrTpnrQSt6uh0tcA/4jjnVg7Lp3GFfEsVQFRy++71HgDHZoaLVA5vXVbJfJ8B
AWa1WLRn102nkAq9hxQhajdVnPGVqe2RlLKxn9FSCnKYI3axPrvas5QnopoR6aF573Ojs5eitYOO
sSnKSfiyE7Cqq69GFrh1me5EYSgw1nF6atdJUodgOoeqHPC3QIAis1Kkh1WY05GyVO+MmTxGc2lA
5mas5tmAPanetMhx0c3jzMO32bcYSBUJwOC1vHZzysgyW7+xHZePPiMrKiykBtlbG/u9UYAa0/T+
xTTFGx/bn8kWnVJntCOsCQTTyXfsACuIF5PqrJ4TJdNbU9fQhmrZW1GFhf3oVxpJ5yrDpe3VXD5N
0+5F2sTJnk2f/TYmYIe5BNu3LYlDsq0ZAo9cylaxzt5qyZ36Aa2ifmk15e+kn7YfeZFajxkD/3uz
66woXTZzkbNm8r4w/S9M3fxH9DhYRRpVbthlSIrFK4xtMvgITKN7AUQkL7jBisjx5+I0zaDY2y52
ok5rqoNGBQqcI68OgHBmZ1KcOFqFbMBBkU3c5fX6GTOOfkwwhL6nDaG1Ms8lCofzBSBuzuLAX3YM
CJIICm97V1ox+TFcGxcos0CdfCs/cfk9+LZDalHWSXec8btfiOfRAts0GWl+5peBVqCo3pCxxL5k
E715WHLd/rbgRNMO5dJmRw0sOEAv1/J2lrO675Ti6kVkK3cWkRzT7AftVNLdWe2St5c0GZbntaL4
cVfqmowjT5sHmwSOLN+VI8aIngi2e+uwPutmAqNkKnlFLoUdMjp5yp2RB6cvSQPEXbqns2kOvQ0B
oNcOIJi+FS9xUd8Uw3TrEbg4Q44SOGN4gXDDluu1lhXtcS5AhsB2156IICBj+qnL5pUPki9VWTfv
xfYANRrwVfVQ7OGTuBcBn2ZPZR4kGCxBNQn81jqTlDCj1aamMrSbLj6SHJteVLesT0U8dc8kiu2r
Xvl6pDR8IHqtLcGi5UjtfdmWR9JNM9FNNxsJv8dQ14bF4MFY4XHG3ELAiMIIGnUTV2lR5lJ0RaZI
y3flQHtx5yYI6ktXgLQpeCME7jjiInS6vgQ+rNoPcCem2M5J8ezyELodK4+K61poFVQ8nEwjh9q7
8BJPiz1kkcdYgH4wikegr9XBn9IZaiUKRuvryVWJ8d5OwJMj50y7Pp7IaEzaLao7Db+x2vWkFqOE
YcKePhQozkXbwUKgJDHDNjqSNfc1jSpMWKBtMPldcRXk+8kG969ul+VpmBZEgvuqdT4c9lNHfwKT
LUncRsrH4uWuw/jIvjLmIVAR5aJ+luBDy7fC06QWXoGmGOdIwyx7QP/4tvamfcLCuQbNql7hyB47
NUBQrxc6P7xYv+8xTUSW7wH2GbWCTk46P+qhLklJF93Z8mDHAEKIqNo4x7Y+kwhkFA94DLs20s54
dfvc/DI3JGjDKq8AnlpgIg9kM0iI48oebkjkjgfXJV7KE0z3vgGy9g+0tbZvaCDtAzzN4TGB3/eO
2z6HQtmzOUa/2xuTdO9Y0KkdJbbevuIWDPXJ/D6kiTz6qzHfiRXjX6D7ZfwFIZZlPqJ5e1P/DoS0
efDp5JOg2expBdyYEEkHWado/GH4gRHJmCN6Tlc9dNTM7LESNejp3mr9F16oI+n230mVYhnZC2OE
lOtp8JeWxtZKZ67qQZ8Fi1tBgSzyl8KZYoyYXnfpE0eFIG8Yu8SZ9nlp291MpUFUpg3/+qj6R6Fa
+1C1hn6HNuLyT/c+GkaPrCdcF6qlz4LW33WEWcq7tuBZnWLjY9xD/7TE2NXa0x0g2xBDcx8oK4/Y
BhHxBPc5rvKlHmb/pZ4VPDPwoyCYQPxUoWus71U9v609dmCb7NSeNqxQ2yIAXjsku2bJsnPSIAwx
1TklYGxfe6VloY+ZcdPeqelL1wwjzxyC57EpjWbr1ZGEPHq6z452sjXUl1RaJ5axhJkzib1prw+8
GoPmd0iqwDZb76QHcwuHP2gOTwODHzBa0W4b/OrNXtcqxBxkjfTJci1xw8qvOeEjayKqk9onZ1oq
6J+DY0Bfhe5V7lA9nDhYR3O4763aNniAWc4zMKPuKIuEnaRky9KEVmzLs2aZOu3k+jLvC6+XAQBN
icvHdd75XeueXgFqrzsAr6/WOoG2Z9tS0gOQEBgw1s76tpgdK1/ABj5+nZrOc+TF9sVbtocldQ7o
yIUVWz9sp4BGpqicPACRgy9SIZq8Qbt334cldS8yX5orXa7uI9NP9+SYuIN1QZ1z6AgtzVla2/jv
hrL3P5FPb7a6tqo+6bzmdK5tPUNTc1DuMK5xb/03e+exJDmSZNtfGek9WsAMMCxm43AenJMNJCg4
YODk69+BV8+TrKieLOn9bEoqJSPSCQAzNdV7z016QrLWGqazLxj71gOJMfpjoCfqO3ULPOet1+RX
pCsTYVMTbgySwLPTz0oTOho0IlJ0xiN3MRiXELyp1rDvlM7r5NruFSFB2XvmzsBjkzC86sbSfu40
q+eI3IX5WyK8+Yj/kD8Xg0cvItM4NZEjghPTI7HvziO1TxHWaxtvDcj8/VC3fb5qZORcAxyjJSGr
JrxGr0yDN9K2ZgRAQG+89rsszPKRSVLwlOOef9F49jdawzef8HWmxMW5Yj8V8fwUTGX0XBAZC55x
MYWbtea80Qq2XzPM9z7YHHQES/6N3SyEXAtWe8EtclSabbOllHAeCTP6Nmc5+DjoIGZCF0JsL+3c
n6rCetQA0R+sUZ8u6mHAuAeb3tfdBmnYJOOjQ6/ZYZjR4huAX/UG/ZbYuabMqhdZtMFxpuCmsp6z
epdSBcIjyBtYOb24Z/MqvvqiK6/JWQMFYVIKLRYAEgFjKiEj1V5jej6EKqGloIGj41QmKH3Xo+y9
RMwBwoNlv9pYpcqvmZkhTh5h8MDJQiu6Ksxc3QEfqL1VOmVk2KGrBluAS/rCbIfsYA+TPCwZ6sfY
LtUnAnCmg6UBnMJPDBcLsCljJPkeSNw1gcblBQuGVGs75sqZaqrLHWfl0fR7s+IoXeYiwR0QZ+SD
zJiePoykHm7oWg/Xuh5Ud4KwlC9RddkFdsqUHOrA+fZsIS+CVqnz0HY1zTeN3voWxEt9EZ+BI1Pr
y+6lQH/ynNR1464yy60dlH9LHMY02HawmgpQFdyq3jpiSnrfiArSAURPbOZ20Oi3Wt3ajyFE9M8i
rB8Nj9Zo0VCR9BOpn2DYQoMQK1Gl13M3TG849SMsIDRQO+oppH8u/fd537T09oTXN/mWswBfMhRc
CgzNUbN+TKLKztdRa+gMHcYgvpzGVgBrZvTKGhEWcmuFUXtGNFTtop0V7XaYK26dHGtz5puSzcaE
g4MdgOTSi76ySfvmljAv9c6la+e2LbHZjhu+dUR1p+uwbp5tY1LJGkl6dOjzuryNuFAwA2VjPzRM
CaeNDgnyk9LI7ldenE8fCdktdFgy5SZ75WKO9RkbY/Dlbk6aHXrApT1YN+R/uF7hvHakAoGxoO4H
r2kND0677GyeM+xCnKjNSiPSE07i9F7X6eJ44ktZcb7mOaFG4hMwUTBMh6A0tlya2SPDHPcF6nr2
WYdDQN+yRTjtTOhFDOMcoxWyvFratbOzbAJo1y5tbEy6ombqYfEX9wZq4A4dqm0UGxVahMV1hovt
F34D/bPGSD6Cxs4Orh0L08/CFseKq+tgsbOg+qgnAp390TbY/pnfTGdpqkEiGFrnGV0r2weYB5Du
dZCn+zpLrc8kQ1E91XbBKXeejN3U58XOSiHPZwm8SidjEsQtWRygqDItc5moXUPKGUMGkR27SRM0
H3OiDEo8U6ufSDJdDJ5UE2Wkvq3e8M6EZnvHBMnV9TBbGnH3Nke2qW7qi2nqtDUDWw76E14ehwR0
kCbGjgNOGQHFaNR3JXtct16WEDwvBWRS8nfMsArvozy3kLs22rhPENH2W4b30bZo7DdR6tOt5iT2
h+bQ3zEK/ZyY2vKzE1byYLlRpu/nofToANvVMynWJGSEpXGZqVK7DXFz/I0aY9FA/Fn34uk2Uig2
bhOH808hapTqLvLySi4HeyaoHJuvwXREV1mrYvZtStWr3tCSB73v2Up/r5qw/yry4cWlwygUHxnq
mx8in9nUHJTDo9xNTtheeY6qMbCBbWNLpJc6YI0JOJMxHdeT/nMAcczgocu3YK8NkAjNR6qIypIS
qkqGZdHPCqZMxeiAdaOMZ+hsGtdFiLNqZeZIcemiinlfO3Z5HOwFEt6QMWL2zCsEDUILuVbmd/B3
WFeogNnrsSYRPGju8jHVcJMbcg3TEjxK3dlUKOJ+7DgciGEyrqvY+UgKEC2a27f7SmPBT8rCLQE2
L3qpUVp/89WZf9USeh6NW9si+JwWoftDbpJzK/H12VTrCCk5N+jXtj1OJULY6VAY6JYGzOuTRWo0
g6JuOkPaP229DDMnNxPJ7YvvP/SImIl6DDhd7mwSyOAHnbAq7CXa2ah3nHczAhZiKwH7kWAU+f3V
X9SkP2895MfCQwxtIGqQi3zuFzFezF6ieq/2dnqt4O4WXj9n/gKUP5u19ha9vLPu2Zz9aWqio6Hr
3Rdjr+5QA/vdD3TdhFGkPGID1MkC8cbv391ftXsAC20og6bpeohUf3y/IY08xwBjRQQi3SrmkSFs
GIhWf/Myxk9TsINuz8PtszwCLO3Gj9dRTI3tJlDejhko0LHedLGFDnW3HsfMeTc5wLNGpsovjKBY
B13v3MYUoeOa7nh6hnDHuyLGLkU7w8OiRJFfEZIMTyENZiJxYv1etWnz+Puvxvj53bBe6wYZLegn
bUkD6IdetII7RUOCew8INYvCbBbCd3U6hAStE0jIMeTRS69KPS4JnV7irXNT96M+i46TPZFxD1jh
UyTeeH56X/+H/Pwb5KfhcZv+cgnXb+3bf/2h8b58y7/++x8Xb5/R9PZf1/Xb51cT/SrW/tev/ss9
b/4TZaztcB+ioEBgjU4YDUb73/9w7X8iY+Wqk9ptSsPkSf6Xed50/in5BbifNquR4S4S/6bs2ui/
/2EauOcRG3rwBS2B0lr+J1ptwzy5Bf60VRnoWw2HvqnjEqayBAD9ab3AGjlSATZbkHsRQ7U6jHYg
aqIrTUv0x0i0xpOkG5Hhpnez89iaBuMoCwXpfYiTu8I2Y6JO0C2tqmGyPxF5e/dz0XqggcrQJGOn
6LroEcVCMCHxKeUjCD9mnMo016OGT6zRGc3b1vjg0m/y26jrr1ShP85JPWorVZCNJlR+H85FwV6O
ja5GMbc3bSWPzkwecQ386zpHYICgzBVjSWetzYlNiMg1a82JUYqYGt2nvTOfSd0YdL/u5HTjdUE/
rZLYycqjWVe3bG/5fNt7TWkdnGjO75Qu535ND7y/Q06Xe8fZHogpZHplM361zag/mCGkmxVpteqT
0TmcOs5RCM0suiXtOQRsz4NsbroEzwzIOG5Yh9QnigRqGQLE0p5KMvQ+S5z/77OB/GNvMiPPN61r
pfiaBg1fm+eB7NA4YudXaK+L4Throv9uA/jZl8ADqtfM7Ix7sDxLERnIG4QqglE65B8kwBpnv0jp
SMyl8z7Vsd0fLIcjzaoK6gpYymLVW0UjIW9OXyO8JXUp9olf4vTmTfq9TZb1S0faw2dXaTXFWuNe
5m48uZsGodEGfFpo+4zKhzPXMNtdEQYDcjhR43anPAZVgu1nlTUVIqwqVvNeLBbg0GjDcyvT8vQV
U7Zzm2DepAOqF/pRA+rO+DojQG3GH7ZSOCdRr1qYS1WXExIbOtG6s5gXCRtWKrqIwT2F9JCpk350
OXcLyWpwROO87Pw5DpM72mxge0iWAFvI54YaQmSyRgCpH9pj+aaXIz3huMNxneXyyQZWsjBbmtR6
jRQ0sVhlve92I2iUUl95Ya/tk1GEa9oh8U4HrRSt29zD99/mt8pKYuzzdXQuxCRu6P15L3WdxRch
WgrmNqRH7xBzyo8asRstOVBSz31NzB8TVzG2KycOceYi74Vzht89oiuZZKP0SZRJ1LEpaLS7cq7G
1YSp9nwIaGYlRXErkwFuZWnYFRBRxEzK8u4z2+5fkB8VGMdwjPreIEXk932Tyq0EY2ntEQfNbxz3
u+ip08sIDvUYkZNdRPCHVqOhoV3RXcZgaLtgtNDW0OPiwPGc7oKiM/zM9HUEW22EbYmSyu3xxk4h
jaIoXRTXOjw2jJVYLCs/0mBPAKox3JVyaufFmt2axpkMgZPugryznxanhnaJazaqSSWOYYsysaPT
bC+boJ86gyW25CJO+joZudD4TAtBAqRlhsV4adMF7y6CHvqvj3ea1FfKXru4jST4MKamgTE8YSCl
EtNdMpm2QYjExQeEoLPzT0CyVtjzyj1gtPZeTzJxoGIJq7uU07PcxFrrJV8Dp+jzHlkID7aA2L+a
ZiN7rHmjJijTJP3KhhYopxWA4iChvdLQBgl3cXFDmkByLDXK36IzAhR0c/Zde0lFeKE1hJsgUWlz
4M5ESaOWCEKm3vZNvcQSFktAoaONhbm3MVzExw4z7TtVZ40YkB71OiAZt1/F/BWLxGg+FCB/Hzij
Q6TUU9rw2ZKUKHRVYWmXyvVdEcOrmg1PUKAKJsar9JSxyALpYvlOuqr0+Yj52oiXREaGWgsNb0xB
4yZFPbyQCSgv+lQUTyUn15zSfpguu4GQRyRHOI9rpYgucsxQWyM/GhAOtMMFnX7vOkCiHftyiY1M
NGe8EWSwA0oszNu8LyLbH7Adh0T6glQIKhSQK5WN5BRVU3zWEt/oC+Kd7o3CtJ7y1oHGUJ+wguRX
IvQJaTeyRebE/BJzOYbIXnC7jeSLx9oSgCChFehT552rsgWHoDW0e0FEM/KxC3WltWX3pi+RmvFg
MDKODPptXZ9s9boPbtktY7mrDLe5L8GavFdtbH+anjHcD3VOlqoo7jyWJZB2NHCbTdSXdwlYkARN
TaSOyBdZeaE8hnuivq113vTMYooCFr6w297yqdOwvcpskQg3mfMSuvD21l1DCmm65JF6dIVWBYgm
Xw88NKMtkaWum2vhuhS6Oex1s0Py3WdynZlZuWcsU25quB6X4hSIWpXQn7eTwQcGdm98wVDTztGY
WZEPbMFQ59DDZgVaacbfC5gKxdqYs3cVPSQQZXc91TFjOoahkunZBPMS0IFm3/TdZF0kVepdFfWS
/oo67oOtuT6H7UaofM+0GAY0gbFqTENsrjkg6GpioRLWWN/mscmfW5TuV7yX9hU1s/4I1hnVIdyJ
+dZcuj3xKbY2IMC2cZMvxFfZA6DlZDMEedxecvWKF33W5/UoWnrOdSsYZdvJOqa7B+9mvkagLi+p
XHAFeUX+PC2pu5WnxdGBg2S0YlRWb1Ly9HjeXGjRxpLoqzObQO/TedONQTyuuiMlQDtCvqtfTaPg
BgvJiIA9WlbAJYa67IeVdJr2HTOw/Uq3v78ZM8+xDiIq0ucSrkx4NdmAPbGc2MU7Uvv2g5A8xgQo
5jEUN6es4wljHOl6Ye/eeTYgbtaXJa+eWDBCz8RCUp1OI3z+tSV6D1Zkj4YrJifQBAPHUaQVN3Zi
ot4YGlZmLq7xOJI4CyqupePGMEvka0VhVq0UxNTdNA/tNxpL4pfSnj/rSyK0GMiGzgahzgeHvGix
JEcD4GJ21rgTuRECC/FDVlTFLloyp+MlfVp3CGD3agaSK7DW2VNiZEgDCHtls6FjCoHdxaeBtR30
6BOtFsTZdZJDzVOTNb9Vp1jsarSmt3jJym6b0WWG3/RFyBNrM14wUVen14aGAJwLT2CCya8zfckV
Cd252xRXVSrnWwrTaD3GIRFjdiyZKGATmLlZl8hv00vKVw+HAM8b+nF0DzNtlwBj7KoVlXopyoVg
E0918QalgXgHRqJvVtc1AIBqoncl6atnYVkZkN0NkR5wuBFqzZo5+QkAhadWhtUH+SqobtC+ics4
EqDDPfiktxGhN+c1GuD70ut4b3VdistSohHwofpiBKqQ4W9MWNfXrPrTmrk4ng+KHSYvNJHDB5iU
y7qDBN9uTK9foM8I9GokV+l6KhOQxtY4Va8yTthqpObNV4x9BFG93di9tW0pNu4p/z2v0vTKYrRL
atSQG4AaJizLNCvd8aKtjc72G6nPD+HcevceBHbpcxKYIdNHOsqIsejXozvaoA9EH92lY4fx32ZC
uGGBkZ8ttSXyS1p4wbZhZ6YhNIljlKHnpR/USiSBCxcD6DYj75DvbK/HXr8TLbirlTBql2zDREPG
UAzmncOus1ZO2D2CM4/viJ6HxgDhhBxHUTU3mdmKfqt7M9x2JF0Mh2ACO9PiJSF9yvFi0BpMiSAb
pNOVsCqUAeFo3VaKhXqPzivEyI4QbSN6oX2y4gF4yRpna04y+WImotaUQuLBG73SgJahObc6s/HX
knCl2Pci+o0L/RyB8dR6x8gp3ZfU7efrXK+195IcoTt9igh9Mps2P8NQ434zlYrV+Rw2JcO6RuSf
FhDFx3kYCYaEYH7mKpHGaxsoQMKEpU+KrQMPYgJfzyq0r6rc2eMIIsY9RC62yRrV7PQWIWAe1TS1
p1hHCy2UtaEBBRG2MLPsiM8C1I+d9dPTDBsP5WeiJn7Wrdw1hiZmgEapYI+lCNexaMDcLkJyVsJG
Pxh59zzqLaqAsIzXc4xBP0ZY+BqU+nKYctRxjCx5iGu1JJSG9k08uCQiTSYopHgamA+xeK0sLXqk
yylXdm0iaWrLfmU23nfJZL1xrPowoq/eVIyQt7YWjTsJbAO/4xR8BZpqroBtsP5BgSKpfOR0qLX2
rszbaDdQIsD+pGd1GXpleT0WIjpUiUIPhId9bzRDelaFbvcx4Bm6ccE6YHzoKY1QdZb3YEPCrSOH
Zo+UK3ylnGlQLke3ccHSDLeLanoG9ErLhzFJXwZnSvTxTnnox8cQqWdnhuzUZOith3j44PTQHoxS
pgwsXKiaPb6Uz7QqyKpPhkwuWkr5mlQmTXEsje1x4Abx4aMhHa/IK7dLBN8gI/u3WVafM6H2nGns
YNlOOY2pCC2eM9WkPCM13XEECrc9kTi4jcjJukCmUWwiV1h+BZIJmEVvbmP8LzfMy6Ylwnmsz5wq
bc8JQVLY+1WFipJQA/QCIvQzJCfnVhncc9vfOHZ41o8dY9/Bvrbhsq+kyGbmcPSYGgNkE5eTqSbY
6iWMIYkuIo2sMD8hDP2xtMboSQ8dz+f06XRssNWDA2XmLVYIvEi5XSIjHaDME9OxvcN08lAGWFF3
wMCWHAnwcC+0ra9oMMNoQQ61C5p23xlWTQXYFcQEZFaHPgyCc5EK8dxMZf+u5uYijzJgJ1mCWBiw
w8wSY4Xvphfo7yHlhi8Z2G5px8oLCr35DJdpc5lkfXdHUif7HMJW3Fdmt62yEBi2XWvikM+5eVk6
7nDfutTmU4OHjtRDrX2pFqp5i/J1Uyyk83aymndg2QjXFw66WIjoYIUYr8hW3w508uh9Q063FoY6
qjL4yIUKQav3J8w61ch1xt1YbfIThr3sjBxtVyUwUqRd0fo0StFBDEYF7ZdTG6dhzVKv8GANJm4L
693Ngta9d4HGjxBni4KTSWtGfrsw4mtTG2DiLeT4ZI6L1zGsaU90lpkBrwURHF7niWJGHvcl5Xea
X4PnMl+XJuyVmWTGZ5NopbFa0McwULgOh47TzdZhMKojuxnjxxRgMKpgqcwYyWRTEJgXVpIJFfxf
+tiQ8vtIwcynA3QYu8bkvLAw9Y00Mx28cFn/FgrNQDe+4PftfnRwqZyw/G3RanfGwupvB6j97C/q
Lsrc9s1cmP5aA93fBPNfn3j/J/R/tqQA6AN9Fs51RAM4ASkB1ZIX0JyiA8IRPpdvnSIFzMYEG96e
ogasU+yAHPJCPianOAKmkEQToKhYSsbwfBjUNh7qhC+i9ZBoMFMl1ADJjv6t9LG7lLMdPOljTvwB
0DCg8mnrAhEu4vpIB4eoBJyERGmYwICOGok2iLODdr4rWqN3zhGSts1ZeUpemJcQhngg22aiK7Fr
LffFyyvkaBXHNwaDOpq0aY5Jc8DSP19w6KxfvVPawzDEhB4imcFfYmn3SgbyXCPkz6eEtFbREhrB
I0d+BEs+WRJVBzfZCAiYyJJOPtGZ0Vca+xGVNCEUBWK4S+Gp6oNMDXCO8RJXMS7BFcYSYZGc0iwq
DBoe7QdC2xCEWCO9HWJhBRUfDYOVhTOh9R01CGNdxwRmJKfsDHRikHLirGrSlRyRpq9Z1zGqqVPu
htWAnT7LooVCFDMCphyGO79IpvLW2jen/A5ECmR59G6vr+tUtK5v16p7toJqKZWbEu1t3GTZfUo7
UPgBHcur4pQXEuc1iztO/dAhUsRLnWMlcvst1AjDQoAYjn4K9owKhy1qcgVKORTW43HwlPOeZoZ6
cnJDPs9OAQI7rCPtupQA7P3GZuLsD1YzbSUGg2QbZ119oBLPQBapNPODqWs43iE6qXwFj0wympLh
q11NaleQ4HCZBURnc+hawldat3OhYEjxQZw4FsrEzNIzx85IA46peZ6TRiOBzICydpZUjnWdMyvY
EylQrgjOIPyl0LJqPwRWhRWs5uwB/CpElGXUTnEOhTc0V80pVCa3Ultt+j/CZsxc61HonBJpklM6
TZcbAJJ71yYhjOTul97hgMUnWUJtJheEkNON4IvQCsGEMtN2RoLnTTTQcKUGb10WGffSlTDq7FY6
1AlLjI7T9DDDQkG6jtl0M32LU+jOhPFI8/Pebuujt+TyJKeIHm5PR67TP7J7UNiFz/GS6JMXpnOk
IeLG20JaxY5ubfZZVLl5AVjYS1ZZ2lndEg1cO1fxKTgILONTNeikjZM/5PAxTylDKQP8iVusw/PE
4LE4tqdwIoTeVb/q+tC7JxSA0/xosvxMjpG8B9OwoO9MszLPWSeYM4a6obhBU5EbBzlWdYEAzuut
s+GUnxQT8vtRi65+yByThICUGSgx4CYtvVXcuhMp5w69R84CqPDSroa0R8gSiU0Ed7hno1nTK429
RF4mY0y6k8v6yYJ9Sn3KTwlQaUHW6FqckqGyP1Kioq7S133cq8uEcDe8vuQWvDjYPNfkDnQvPEkk
TtXM83YhQPbuXGEGEYsFgkBGzSK0Cl9lEm3xSSSLBLQAmM+2xLoynjKvEqu3j7NX4ljUO7zYKPI1
jGKaQ3oWKi+10cxGlNhN9el8KjTssZwitRAd3liFG4x3WbIx8SLemDgG1U5SGdUcmbwGCzjP/Aa/
TXAxjGhT/brFDgAXBjXJkOa0vwjUaUE5ntLAJLlgWjno3fl0SgvTlrmYj8qYPhrmAZpJjeuwDswE
hFw2M/nZqLGIIEOxg0g/OCWTSYSMWEJPiWX6ENIsmkreMOnbZJo1HZyEbZYb332qydtaugadx8Rx
iEEp25H8DoKYeYxR6K60TNWEzrBs4ihpK+2GzFi8OmY8k5fh9DEHmIQMMDmQHAW3NbDjbxwo02tG
QSZQ0BOZQBfXJtekEBUSfpcIhUxOe1cyQNhG6eg+qriD7jX14WOSR1TSCPGS66zKntFJBRuyilzC
qNlENgG6P+CfbR+A/MQSykBH+yxjNd0npJ1r66jEZrByWXYnIqCZ4KxGjOyM4lECMMleetk4oj8o
5up3PZH5w0yuF0YzBQmAw1p01AyGTdC+l0/UBp21spwlISLK7C9DqwYM15OFDzmszmjp2LglUAU3
+mR2axJnLGM1u8O8R5cY3rbVoG6DGbkIeZdGjG4pNO/qqmHNRgnT3qfSNMazqOrUdqa/Em7nwe0j
P4dcTlsGS/68DdCZx3vJ7Utmadlby2A9GnBYG0RMbueZcJJzZZGbt2/wKDCeiVqJoSs1jQPCwzsE
S2hZRmN6Q363sTS7XCudPDRZzdnwwUAGFZhXmc/UZKNgb0si5y7laII/LpXYeGonvK+RVtxTi4az
r6OZ0nydURRkhrSqnhxXL78RWFOLWjV9AF82ev6F7EymvrSWYGNnpNlfdXHlz0vIs52z0FNR1k6+
+7/5LEk+eAAmxZT17TOPi3XctHX80f46ZHU93TKXIfn/zjbfdclb/fbvf+uP4SwjWBuqCAYH+JA4
fRe41B/DWUf+k3a4bqFm+f/Ri/8znbX/yUyLuwqJ3yKycPil/5nO6v80DGwOumGbpgGc0/5PprM/
FQE6ryAB2oH/MdAxuD+EPJ4Z907D4WHTshxFWHWn6SkynfE/hALBCXVspEKOx2CZz/XjZRoASMkQ
Fs7GsdP+tdc1BkUM3tjw27Tfhbnq/7hl/3dk10951PKKDpwx8Om6Zxnyx8zZy+eUyGNcLq4xehhh
crYIKB7EgqxAORMq6eTxnSQect8G8rYbdE9DzJvPr8VkEYdCNXhsnMg6GhVQGKyZnKynbLgAUjyf
G2OqLn65a67/GIb/ynn/i6Zmeb9cclsIAT5Nd5cL9YumJnHhJwxj4W7SoMw/mQml7EIG/03Bwa4h
YErQnC597FiWn3Wpz5/dKIfHKUzUTnSl/R0CP36gq9YeQ6T3379/e+Zf7xPeHjGgroFwiXvyh3LE
9SpdJR5m2M5Q9kU8G+lItmxprd1miM4mipWSxjcwUyAGeAA0Pdy3AOLxB7hyH422+2ROYX41oREy
DHXQI+2G5BMqmqCHVbqi1ExfEPDJXY+0/DorzfK9C410B4Zc3f7+s9g/lTvLVy1dHiGk4DZAseXW
+eWrlvE86G1niY2i0jynqJE+R3wzXI9KRsehjrvUzy1dbLSyGT4hFtBly/JiOXbnrdiPjqfddOPY
vjh2jxveMEDtppp4HslLbxpx4daxuS7cmO0w08Krwur6Q1sC6YXf8aIE/ec4EM+eaK1LnMR+UUwE
9MX9Xk1OfsCiBMOXcv+cBjF1sRlRo2CeNoJtREYpJlHG/fQhbAKgBuuiVnr0KalWsJh2ljoTToU+
LqF5gdfC1M8wVgyoEEzNY9Qyj8nz77/L04P7q7SD79JF0WFjDmNlc5wfjxkyWArYZhIbzoI5yqG0
2JbJoJ+jRtm5lvGtJcN4BTsYqG8+4u3cdzU4cqfK6ndbVe1FFQ7I2CmK3cNQ4sBwKQOIGitcAwyR
pa7LqGz2TJbDETJIPn16+MLvOhWUZ142as+Mn8JzNTshLSgVU2qH+nhOCFmybTtH/5sb5y/yqdOH
RTW1SN4swaPw5xtHScbdnFOcTZNW/WVIxixgHmRgB8Wyfq1NjretwAii283mm7qS4ZmlBCUo4hy1
R40mH0QjJozgof7x++uwfM0/LgMQQE+aXAFHl0uwxq+3NBiNvM/EAOVDmsInsuc76qeD3RLG6I79
f0j843UksDU4qDS2DJb0P79Yyf4wcFYVG/R97rNeTjCa+i65+v1H+iky/PkqP57SjO6A01jUuKkV
x1/IG8vzqSuWYzWAx+3vX+vfrAhLvgdyvoUkh+f9z5+IWzJRyqzEpkDueGZp+fw5O5VzbteWfovb
k2UXnJVH5KyuE+dIOtf692/g3yyvuFOYtJMlJmz+989voNSYj5GVJDZZ6/aPxoARbwxm9292YXP5
Z369TSDWUjgINF2oI3WOHX9+GZMlV05Z4mx6Ud+qxgx9mrs7rLg3Y84wKb4aC3KyxuFzZDZEmKB2
RbMuAAZeQry3cPATqwNPILLLG6dRw84NW8yi421jKnCCjHU2Kg4JZyJOQNmcfVeWN9frfKi+EkQ2
v//Kft4fQkpUz+yVtuEtdRUV0q+3/GzPxBEzUdxUbDvIjWO5cjjjrDEcaH9zdf7ytXk6ezMmVocC
xhDyx+0RzYEJmEHzNm7mYNqdUm3v6nN/FtZFtrWaoNvzVXt/86KUgj8/oqMLKgHKJVZWQJQ/L9fA
VMrMjSHYgNW9R/ZWbqwQWKEXjMOzVZUkVBhjc8u0BY3a8ILpgLkTCui3JFwYC3qEbooBhCsBaAXO
daOIcmBxq3ZMWnZZC7yMUKmXwGxeSsTxNAXLlZQoX4CpQAnPaAq5w3ggWYEGl9vo11gXkL3lTL2Z
4IWrJQFiFeuTviU9UFwg/BnxVYCmN7Vs644DIq8Akryl8htwRN5qYW/wAN1OLl78np3OlneMXLqr
2Xmz1fxZ0BO9KoiPWqNNCZ8bQCNXGpl+W9wV4RpPswEvA8dqzdR+l8UOoWF5lSUv06yRrQFyjAnx
2PSfJhmLOzuChb2i62e/jLEpt56e32PIv64lttSScLzQ+CA/rd6IIKc3poWIH4SIwfpkot5iZUkx
4XhqP2YCuv9U5yiBEkbGo0N31kyQpxmJzZ5bd+YXog95kTM23sZGaHCKTAeCVAzci/PguPk6YJd6
xYU9bGJIE8UqmXyVOXdCxUSLVosRAwEjjI25iqaz2orsmyDqKx8lHDAmfQPOZF9GxbwzM4tgnvuO
XtQ02ut2Mr3vabDO06G7r/ruK6G6fIzNMt1ac5FvPNk/5VF1BFvVbJuu7S8CMCGPVZJYN31acybF
eZnzb2VI7r3ZW3lWdZN7M/SIbpHiMFhrFZY+ArRxV0Bjcmhutv0VzL5xZ8yZuG57iSOo4bJ1NeDc
VRCF37JvPQwuQbPXK4yoDQDQ5wIoydMQW7siact2S2tLXpdlrggJoNnJJAzbHIi2alpDzJ4eMgbG
NxZ9zwdlJrg2tXq616JA7XBSpJdMnsL9PNbabUqhdYmSP/ITdLFro8pdXtlRl0iou02KC2HT2dJ4
0wKjPhDgIS7NWtEj4ert5wQcWtRl73WPAydZPuGgC22Hv/9axxE+l/e6YSwK6OmK6IuLgIYf7oZk
OJRGWn4EgUFMrc4tWVldTAEujbWsUoPufDavWwIu1vMi/ioJtLlxqyG6TKtyXuuK9LISTcC31Bua
UL09HXOGyJAb5VdUiZeC+TyIKkapwao24/HJbdxyb4eDtpomJIsRqferrolmpLH0Gro6fKpV86Tg
JyToDoz6PcN69hjK1NkT+oDNGhso6I/CpHM9wKunwb7G2u7sk1qBGdNkuBGkjqAlc4pHuy60i5h3
tVZGwA+nxS0r7Liv8mo44GhzNvwU0gd3OA+a/ssS4VlWjmSfJB6ytQKlk5/EET+ghdFdTyrphkGp
toWXIRdfbkrasSbvrG56b6Qob7N6cK7o5xMvmhfER1oxQpFcXM9Kt266KOeamF1ZrCPMrUebSSwP
VRttI2+AvUQY7GgycXYTgH+pBe8knHB7wlqJHloLn1BqARTQdTqHoqwafxKsjogAJzaIKkcgECVv
9Ok6klbFcBnPQXYjpnLAeqzl/4+1M9uNXEm38wuZBwzOBAwDJ5PMUZmpuaS6IVRVKs5jMDjE0/vL
dl+cPrBxbMA3jd67StoayIh/WOtbsQETI0IXuYcK9UnSk9ylpGZEDtNxzlUIGlOIdsGoiyuYEBtB
yGL9JlpAbeaAtWgfZmaUl2n/aBl1iG6G1g6bSu28s2XAn24T+BQDj4TnUqIRM9Vzmqxnge9d2fKo
y+I1wXDPd9yVT7ZJJl+15tYfUy/VczcVVPoBaPZ9IS0fLKqGZrMwrR4sIIJNl+kDwpcXgbPZRTi9
UaiQGf6qfaM7FYeD9auZ+nOG/LFyStD17PKwczj7ufOs/WCYL22JaCtbpktDUPDDrNq7U8bs5MdI
SCTcCIguP1PaswlyYw12qQAXhsZxOI8Ib7dWDWNElulVacCSozWLbTbb2iKhD8Sk0aMmUMC5jA08
IWfnYXQl3D05UXYAqias4MyYcHo0RN7vyIcFsQk/4+R6sn12vP6JmJgV4CZJpLkztF96MMu9SPz8
/b4BiUeItA95MtgffNVtLFXpXhvYEnumk3qfkdb4FWKIOvWBCcvA4+YcrBUBad2FhylXcAXHgnYQ
V0YkUxBlHSHgHP1MVcuhNC+g2NRu7Dm8kWw/DeJvmTFHAOa4ylcyrsFmiax7tOZqffbSMjgzTQa+
qf3iTiBdY6cakx+NDtcPVeEKCa1KPLPo7PeN63AXZlaxdwZEcHfXJYRD2e8AyPp3LKF5zLOwPRV2
ynWbrY8mmIBoKe30kcnOGLOvbB9mtDHncZLuQ2IrN86SyYRjmeVPVT7ax0HOwQNJi6T2hEV6meA0
xKYMp2vvF3+6ui9eEXKZ25yFwIFHNO4V++jaxfZGGi3L0OF+uoQZ8sVN1VH3a99bj9KxmXoOp07d
3LtLUHrNba7yfpN2SzBuReclsaEC/2L3Xvs86txFud/XH/7ddILS731NHDdqMzgcDSPnvQvGL9yM
mrxHGOzNxnC8+jSWvccZ5gw7h/iBKDcLpF/oNV9QqYO7WHQVTjs2jkg2oBTszBXHcSX6NtJOzYOf
jIPRRQva1WNBePGxCUzA4aP/GPDxG7UYxlMTFtVF5/0fT1oiNsvBpgKuhualGdQVPefBl87fJhhO
aanTR7cMvQgWOQ7SOSuOExnBr6mfg+/FtLBhHHUhzz6eYD1RqCU77JAzbneBtGsiZ+c2i1DdxlGm
b7SYMEGbKhe70GnwifpyGq4Ogavv/uCL57oezbu/uDvZabpclmWRf6Sbm+Sb9Fn2Ojd8MYbpuN/2
YoZgx7LmVOb5fT/Cx4kkMCJWdoNAYd6Zu8Rl9bL5hyAO/av/UE8SQBiZcE08hH7z3DV+c8z6YkJq
vCC6KGyjO6eg3fYSBAm7OZGLNwPcyBaEYBggEOW+nhj/4L8lkWTvzB1y/ED1yavTCcUvH67RRs51
ul97NIfUmT3syj6zWAVLC5WHGy4fA0ieNBpkRbJ0l2VJAl4ZYu+mb4vwWmbltLNKY45smiHC3RLD
/YQGwzyvSyokHsrfAzFG+lUC9tvMcx1eQuBnfPFk/dbUM8CLpg548oYYZH1bCIqhZEI1d+vWTF6K
qXiGp/DL8YsfqnaIK8lW6zSgIToopT/YL/JC67q/AzuGgyKQJLaQE7OM4bohRNynuh10fx8RYemq
iQ/tgIs9WPYgdnCtsp0P5OtUGz75YEOdLEdS+HZJbUds1sIdtyvsV5tMJ8wDTXE22NG9AwIjMfsP
rJfnYLZeh2D6QrJxDNb0J3r0j8xyIDmmRv3UT2ZwkGbD6hpgNPkfQTlGVZvXUWvelzIYPsIrkMwh
wiOgD3VlKMEoCkVHEbjNJXSH8QVOBWlvbWDLjdNZ6loiP8Gs77nuF6ALch75EhR5U276VIXLC9pd
++CKlR1HPRZb2mLYgE5yXdDJQu+Y2SIzaJq/pyIZXzSe6v26tEbcdJ1/AEmTsrTmEvyjVDAxihUJ
qEU4E0ljd3vea3Kpx6F9CvCkHCZTpHfxJLAgAaLWa1Hhk+Zzspuye/JKxi+o2InCnWTeQYFs5ndz
wN1P5zLZPcwPF0YcUJY/i8n8H6+pl//lY+75UDVy5H410IdQ1KAL11oaJyhSRUw3IAFvopeOHQav
8WCF9cMECcfd5KjxduiufOAT5sgB7LT2VuSWgSU4DF6wZNM++IwQ31Bu4pob0R8wsGj3Q4DDbxxV
CE4OWJyTkL1WzATY182fkRHkbrFH84s32opXe04OpQr0ozGZcM8wrFMUs9I92k1gXMwMjvKGTVp5
qQg/vg2UIjFMnQbKQNXuVRLkUW474lynwVs1mSerlu0vrVIEuFmfvRBZ1b5o1za2isXdU15zuMo6
9J5IgDF/Zm4VPuOVtS6WbyYbPmX6+34w/qyJaX9Rc93DNhKlOA8FiGbgouGbr8fx1S/DMozUmP/m
mKmu2TQvb5Bsc3TSfonXh1XcTzLuer6HrDxkKOXh2+bpVei0f2KJ3Z7aorOPXarGay7AkLSGlf7I
O5XcOpwXvE5MYmZcxuea8u0HLhhbo7MIqz0VEEls6KKNmE0uFlq0HON95pDfmBNO76XDnHAx1vrU
AhsISaie5ZMpM5/hih7WQ0P1dvaq0ftGEkVWo4bq/2TzqD6hSFmbbGPMlnV0fbrlrKK3PJQDI1qk
8jPp60XQHLJmLn5IWQ+ffQHyJrZN1gibttdmGFGqF28K72xkBauIHcxHLN/rmjYnSGvzoc+m7Gp4
ZhMLt+1wwA+kjNmioynMhkcuzWI32LqyeUvuzoo1WDFxNc2bAdJ5SyK8G/UdDBHdN+O19JcnPwl8
Hv4JPnbHt4CfLega1s6K5SRB0hSa5Rr4rPIN4H50WoH7bBAXH/lgU2InsUoH6Xoq38QoGJ+aJtUe
f9z/Bma1xJOerJsAjkCzT/lzTQZj+nKzBC6ki7iQCCQXzGfbOHP+bGfZCCDdpvQ19Iq+pMXehYxw
feYbZaDe3c12M3IplIfjul98rz6UtmHa73WSyL/AwioabeaIDap4Nplb2gR3PodElhO4nQh/jaq1
HGDGp71h3EzXG4OzWD1oJgs6PtxZ9aHTgf1caTs85EaOcBrLwhiAdyHfmrcd8mBM1znf2B33HAVY
kpGnlHmY7eD4dBGKUkpdXwddvMphtR4Y9oGC9YBQxgSyQTF35944Lr3bggAM5RuYfxI7DQK47w6N
jTSC5a/uQl0zFHbuTrq2/uWKbtrJruLCXLlvU+znk/1Q+7X+YREa+xcIuXcxNXt2vvX+UyWzBM6e
dOOJi5FjgN8N4XYraK3h6gbpepWtx/Y4UBp9kDuZD8zGUk53KBhg82ygvX3Sdrccadm1hdj3k0aT
5tGf++AX3LaSWTtwyR+9CEIYqPYMSj/DsDSDUCFLdPa6T9mHbVR1TvLBgon3aqpy2r68fbkTRB6S
wU3LnRHYvyqYkvaMy9sZgQN3TDf3KBdOZQkmWmsGYpsGVvszdr4Kv/0y7myzS88gacWtdEvQrQUy
eB+xTCN3a6PH41qTcdAZ+TDGtdWCdCRR41Bwmb2nJTxHTnjcY3wnQp4GXZRfLcXTnWo9HnhV03Mf
KPHYITfEPAnSJQDXiQJqOy4jGYvLsiaExfpwSRywXZdCCNoEeuNfFlxq8C06PVvT8i3F9D1IA2gC
mFbgEOJo4+GIgtZ2ds7MEdq6jXofUF+egrALHwDR59+TX4N00m2+XplzcTPUlNn3AE9fwdAWDEUH
KKx66YxvnEskBrJp+ystTBWI53LRbBwPh9fzApLTjT24BiXss5xG32O5uW5MeyXFHabL1kn45to1
oSHX7+4AK3lb6vlXbnTIZ6dgGW9L4j9O2eheRs5gl28rifJxAf4VlrY6T6RfHofZGTe8HZ8mn8Xb
WEhwoLT45d4bVxwtHBGAfFf9M1BM5dJ9WDuf/hDMN7P37Q/Jt34KuIbRazXjkY0XPNCmtt+5nbaI
G3pQ/8nqXg2xIEFsCvIEqzJAUqsvWVP359CDZ5SMffdnrRaGb7Uy9klH52sAOSUoAxHZNgG7DgsK
WlhgCPcoKXBRL3NZzZtx4UoGtbXsvUEb+9aUVYTegaiHVFkdQhSj2ZnO4B9b3yJbgJNOvHTB4P1m
sFGEEUmbmO2NgrRoIZ/rZMgehcWUkGxgZC2esi9JQhg9CusYnHCbQqho1wO/cWDP2nJYwQYzT2wW
ntsp/JgN28dOAEGzXAeS6AONChWdbORy956AGdmXYFKAdihXPibhFWcUXFgr8BHF6M3nbT717cYJ
w/myzEGJOsk01jgkXJuOiG7ryUcDs3OmeTpj4Mh/pwPCqa5Khq3tslQjmrl5qz23fE1TpZ8NI/Xf
2d63NEh5QmKEo6BFBikS+8orhB2Bfg/egzvgwu4q6wX+bEh3mydbGqLuKLSUu87GizmgU93Kvpwa
aOw8KqFz567OVJZ7rukC84WPfNQo3SSLwsxJKbfW6SfHaI/H1MB1tgvbmUIf4MZIxAU/FrSofVfv
ZO6r51Fg1Kgo9iFsMCzBlrVYWItCdzae8motrn3bEiDV19iqW6zJ8+x6DxguUSWWotkhrikid5J0
RBgHogGH42O+tI+wJ+03gdm2Gayfeet9hVXoAsD3lhx92dRDetY1iJHB245rdfFU4h7I5jafQWvd
Fe92cAJnXV1yWb42WWjhYZmyv72wxIs/OM6rAlZ3zClBYqMnZMGaUZ9CYH+e69k8qMotrws3aaNq
pFxpoZ4JUExfPF3Xe1QnGEFqZs6Md+3L3DhAbz3CJZRsmw2rkU8VDObZTCtjvyT1EUCkv1cOj1GR
jX8RhOk/qza3dmcsW4UdY7u42geT1aEIJI7FtNoqRjtY7sFkMym6G7d5wm30crbOXkeldprtrN03
/I7ZfMXmKn87stbndJ7tW6BGFLcD5L4OHiR4LaZReycx1a7FQIyta7SC2HJvPTHqG1J7OxhDrlS7
YvU7hOssmrvY7KtzMKAd6Yw4LJorQcTqsw7dP8QgpHtlYLaEG87fDirvSZkDNlDvwdLjwQCOviFB
0cG+ALeGgpdNQr3HWfLUQlT7lWGdvQOk8GvNNdELy7SeGYe9lSHJD53p467CbJjnjP4m1R1tLDJp
Uzj0Ekv1xx6JEyjt4afW6YMQdBVA/NsWBL+V1hs2/RbXgeHuOpeGSLv50bdWCbAmxARGWAV7LUoP
H8jQUoIloF0mF8bftDYuiQDTISNL2glXhMvPBonYuZ6Ah9qtRwuvll3KmRuZPq66qMrdX0T3Oi/w
FiE+ppmVDUgmLW/nrMV4qNa1c5i8tNndGVcCb6oFmQaTMNKvhH/B6zl00A/Jo3+1iTyj1yIVGBLZ
FJe8t92WzjrWQbASJhx2DDaGfH1KDCd5AS9PhI0K2xBft3UMCftMg95CtWzlrDOneV4P2Bnzr8RP
uBV9RNkwlUVbvJKSUrCAJCQ6/ErzhIMYCoy/NSEeJGcvpz/ZpqUn5s8wLMqnMMU0cmS5TXrnqtiW
sK4tHip30ltd4pyYe4sJqTfiOk+5Dz0iX+7nKTGnm3LIn4t5Kl/U6HDacm6AiCrgT27mBBsOlnXP
/+zIRPtaW8v9g7XoHlODKXYzh9TNkr5ua7VLhViPWOigX8V4AN9PCCsEE5Y86US3mHRoTfBIfzA2
HuLCmgcWmqN/8j2XiT4GMccZUYjr6uph16cb7m92YUFV7r4yE2cnW6+by/2ets3NNtKzLLAVOGJG
2OukIPMxVsgLT1z2SbZA/7nofjPL1Hwg+eLPgBc5SmESHSAW5OyaVkztBfiVOvyJLfPZ7ZcPAGu4
83lxeeM1ETELqOs0SAnybYb2Cv8p3HoDD3qdM3pMXesuuRHqmbu74YYsmZkVVVfHtAF0qqPhIIms
9FR/a1JRtwPhRyAwcaYS04n8NaFnciZgFahaAFyGcgYs2IxvqSLCeMltRtaV218L5AxmVV6kbYDg
XHwRiSBjZIHfLPmgX6jNGI1aH/lk0Byn1h5/5qKQ9Xbw1uWsRwmkfgLhSeGbsyTuIS0atUo58jIw
Qe1mLdLwsJpCRSatjsX5UxPeXTXuS08QPIUW09TcNFiVuMWnTI07PYwTl0nrcslbd4isZNEfq0/X
Vm9ZbDHn8HhYbt5Qf8yzsJ9SLSAuy9Fef4KXKg+K6vjihMDK1h5dJ8tNl9K61MRMFGtoXpbKMPuN
j9UfCg6uln0t0+RmMyj6TW9KF6ILckemtGFQwc+Pn6SR+SJOXFG90cKRIDVAJVytLS5I8+yEBtsD
OZVvNbHig+rmnVvP76Ose36C6Rvr5H0nAv9QsVmKlR7k1kT8jhV2AMrfFgYxxywYOVfyt7EFm+AE
HZ3JxIO2qTxz+NvoHEr53e6Sr3ucGS4bttNI8ltm2ROA+yBTG8fqiC1aayK2W7QwXuS4+S9LWW6H
pLGbDzX95odJgAZ8NKc/uoXV/2lKprHRYvFAzDmo1U1NcMRL5Qpr2fZiLA9lUtIlaO0/+BnyXovQ
GRDdjOrwcTiphm3k92D3vPQpI24bMwKVxNTlJ/YmLBysujosQwgDYDAV1l6nnvUzFqDmgOxslpFF
VMUhKM0KlzjhFFQnRfFRcAr+1mIQgJQERk5yjJkSL11+drXDkeX60+NYsjSbrITGrbWMM/aejhaJ
NJbjYE1Os/XcubzO1C2naU2w9CvZOezSAGkT1lm1vNyjaTkRRmX2FYal3kss9vQbGiMU5JL9HAjM
bqF1RKXNtTdn7t6VVEwbmlDrQsdGzNTATpFMg14/NR2mp9z4bku4voOvjIfyXuHO2sqfUeu1Vzuc
SIKvq+Kx0No78OrYjyHjn3cns/w4CEkYDybd0N+548aCNQwUvV22TlFwTpE08oDKCSGyP1ErJ/18
5oRdthO1205xKu89u2Tr35KlBv84ET8qxgunhB1Q1JVhFpGo4z0rHeYXHJvubxH6GBSZ4t3zznBW
RYAgjE023ynQmZojZkY2gnXwz11pjB9gKdwXwfP4lHWCRym1R+YMun0Gci43LVso4pptGRUcqgyk
Judo9iYhN0255lGA1wE6alfulfTGHz2hqtsWS1KBCxNdGxSAgu+4NlRGeEiDJblL/VHGfpv9dlDR
frrEn91WC+Q/y0Q4l8gUN9jNIMn5uJgtM/X4SVUt0HJ7PWfEarGM4O1gPNz2wZcxG59NsH5jh7cv
WAYfeaCY1TM92gKYLx4zA6NqpIrh3incvTvXULO43nd0udDsOSwzTDFyOvBY95SLNgPTuQ6yoyjy
9M3vTbneLx58RW0IcmNr8JNFMKDDB4LpkoPr18NvK52BCDXPiW+Pt96oQb6Zi78FpjgN+O0KxDPZ
mCdPKcOhF56u/EfZdOJjtmyyCnyJf91w013SJvpGKEG17X1FP5msGEjHSpgfaC7Ht1JbDKICUn82
hRbBMRvgpCAaS7/DVAdRlwBODz29vvSYsh/AdNY7bocq9vwB5v1idvSfMKFZvoh/dMXEbNtNfzYK
ui0Md9XJxXRzhF0yyvudYW81hoOddCZ9ZbAyHnVWGl9lmnrvmIaHA9dBeMtxTe/5VURihFVjLeqP
gTj+mM9WIja+BQJ1m4n8IcHD/MizWFE8O8Nn603Fb6AkzNCzVL/4vgUXYaWz6aKVtTHKhYj58AZd
I/9bMg95XdOEWHCWGlgZzWmUL2Kp5dUp2969mkEzYdQRhNi4xqxil67q0OcZm3Ndmo+rnd1NbNi0
DqHIqrjzRrQpeAXodQv/NcEhcM26lpJD+IxnKmvmTealwwrD8jLQFSEcNdIRA+mUlu3FaI03vzG+
bSSdr3Vn9M+tcggtIkzoXr+209bJYfQaw3RbVeq/2hCbno2VnI+ieJoZqu6gTqgPwnnkoyvs5cMA
MhsXCFDOdpsHW+Un6oMD5cMrK/uyGvdKYK7LK9Ys69xUksylNKsf0zEvtwlspD/TlMhdP4N0G+op
pykxORcQVh3oAvN023fWmOGndwht8SW/rSHQn3XaDysOVW39rm2Dykt20DQrKuJzkUMqahyPCaxD
1BMWFr1NO6A1vXOXRDSKbAg77Y5A15nweON+sH116mYCAjJPiA83rFpOWb6qGn5TLZ4Yq+bnSRN0
wXS24LP6y67tzPKYqsp+7PxexnUYiojEguCsBMOLovk7M5khxQP9ZwIilYKZYJcV4g+0igwKpSya
Q+8xH/aC9DPIsj+ok74D5qrEZvoYnAms8JGm9dIr9l0PMdcr203oGXu8l9WmXkuOvdWJsnp6SAeM
nH77vigOnEX70XLnbRgCcJBMs5iXdauEg3/KF8dq6mAGA9yCxeObU3ZYCbfAg5ujPGAbNIIwYYEV
gKOEu00ypWUctNmfKts5wIF8cHrm3Kvw2ATxKQ8yWIqdMwI4Y9Oe0zYqVfz0AW3tDD8tLoGfly8W
e69Xt6E3bHXO0Ltuxf6/6RZiwcDKPvbLMf0yssy50OyawGPTct/IXL79Q5T3/5vkt/9u74A7+d/v
n/h3y1eaQ+/9H//6j/J//TMR3Xcu3r/8Q/wP98YTaQLr87dUFR/KJ/rn3/y//cN/kvb+Cw8I3gvU
ov9nA8i/N3+y4X+P6PvHR/6T0Iefw3ND9m2u9a9x6r7Hn5iu7aFiJLPac5H2/tMEIsJ/Ex5KdYRG
PuUg6sB/WkCE9W9gzMFP8umwVZjh/4sDRNy9F/9RFHr/Twh0jSGyeLSN/1k7jP3DmMihHXcDgWDy
JVNB8Kp9o6G9bUPvBkUiIFlBtP2Ou6rdOQS5sklJ3f9C74jr/C7Z/I9fCV8GkgW4lC5Sf6TF/8kl
YrqTlxtraMWtkPK9DABFJF6YHKe0thjB5OHDgoeOxmdTJxREXYvwEjUIUrzFPfCv8h3oZM5iYhR+
uoDp4I3ldFyVl+dRnSbuo4lN86ixbkcrAa/XDLUSw/reJUikN6ynTEK/ynurOaJUH7YGw5dxu6QV
QoaBeFUk4Wvc4MfeZqYiVsZyfGs3ekwECvrvs4fgBHyfxVS24O/fcysZfQyJt3y1BgIsojSvdW4b
h8Ar2Ilr2pMvaI7VxbUZ6hHSU+EMX8z+vHjjNqeT+mXbo/5DLI37yqaOwNPV5v4qZ/kIHhy/J8v4
nPiHuf0F9k0eFaXqLXNGcTJbIom8LFB3hc34mJKfyPjPgmhd2KeKtdOSw8GolZe+rQ5bczJGAbw7
hfA+hCIFq/VM6y2bGWUrwhKOlFNgRrj+2F6lxo6/YrK/SbyonbPhINGlP6SGPR8nnEyMjqtds6Zr
1Du9Oq+jgUQPYUncURrEvuphviuOoN3qo1ZPRgeXI3XOq4u/hGiEu6EkZWdZNbP7wSomiQd2MWRi
mOahk7bmW+sfSYJht+MZ8yWtEUspLJ8/5rmfiJy6Z4zCuyQt2srjnizEra2H6U9fF6yS67J5cuoA
I33iGeoyd/VwylPbiYRn7eRCh5j1h6AxzkGfebt0gY84mf6NTX7GFJ5Mq60mR8nCQ4z2FWG6XzYh
kkY8kz7Wl8jJ1urgZcSGJhrzDhh3yc1dqdyDhJjQXsLeiuZ6IK2Y3XLUjUN/7cpy/GD9DN1QMriD
yUEIUGMYv3zdL3EwNeu1BpkehTPPU85jtXOULOPOBqLO//P+pASu7mci/35oMizv19G0XlJnbvhv
tuLJXGzxqOppuZkduMq+m5Zo1h2dXdjc8vuCKauV3nfouJ9IaPSIaXT0kzMmRdxrg9xcm+yuibSh
R+p35h8Mz2LbyhHKM99GMmIBaMx6VByNCcHeH7tDO3fde9XYNr9NmsGmKjOyn+q/9pylMfCP+jVx
2Ef6Kxx3Pgfc46z3DtMS6ocFn9Cxdcdg3zQpcdfw81gL1z4qdSMMcc+YAYucpIuGFOPmMBpBXKar
uezhepoSherg7pTtwt1iKM+7JksvMroFfnRTr/WhoIog34huR9kL9m5p2M8Tawqzkdel05pImvYu
Y3ZQxFewiZzJE5c0yG4hh0yMJeRmKvDvGci41GzYpgg7/02flf0FBkTNiaJ6K0KdPKxiNm/at/uP
lFP/YKvKOw3T1F0aVi9H3Uwu97bv3egb4ewoN3lOyZr4srp7CkKBw2iclfo9OFX/zMkM9sW/U8J6
mmnhFyiLU6/Otph6VQOoMvXKIwS17cLDT9HjK7XuXc2yN8rSol6p13q1S+Am7lwECx2KOHNuIPlS
N6i5S6NsMIod4ih7m7UBiJyE7LCtaAZ/jKzetFk6q4lgKWHPQJ3z5J2k7eTm1Hmrt5YbtmwkYGow
FMgRq39COFBPhtWSrWqZcniXLKu3JbOYmzcO9YnLDxGyna07zrR1L/FznOa1zj470UzTNkgpNcFa
G2CfiE3d6W5umAIwY7Ufsq50Tz5ZBU5sd+H3Sp2WYrtp+nhWY3MKKul+OHl4F/aSkYGt0GbGGfje
vqGKJBOFbd3fvC3XLk70MP71ZSAxrejxo0aSdei89tZkxg9QJBK9ikmKj/CYrjU5wb1dReABE8yQ
vD1TO59E85Iz4BEJ9uHUQ3UMi/UeujL7x2SmLF9r4kUyMlvgqjKnwi7RJ9WjyGY09nUyO8vRK9YJ
YmCdiPKbjYlUz6KonRdaAnvZjZ3RfUleha8ksZr3tsoMTFIesoSk5YKOBbs53l49v3WEz4L/6ROi
Gabpo2SNdV4Dln4IDlcQC96s6YdHUkTM3IbhQqqVfUq7wQZFG0CZg+4pt4Qie3/FarnPXIUyOM5+
URVPo5TtcUT29aKGnpJAqMWLbNQS7pXRZf83rSXC9Cz3vR8NsjLczsF6ZBrt7vGxeWd8GMF3WGOp
2CSWWRyMQCBMLJwFbQW79xcrY+nd3G2ZZVn5+0kwbXak0XvPGDb7zxqt57PDaf3CSrg/FPCIdqlM
LYb1ZRZ4bKSC5WLrxD4w00pjspJIg3ASf8P8xoeyaFbBTaILLU5T+WyEU3AurAKdk1MS4cUihxi+
kKnEjzYc8s/ZLRQTyC5nnFOTemADO1XuTw/pTHMrSBK+Z+U0pFygZDfjStz1HPTX4kmgWeW4NZh1
ze78UQ2deLNh5bygXSK6Ukh3Z9lLS66QkULPDDOU47Jk+TvxKai15iKCJMOCYGFG2rfWeBY+mbRU
aQZKZKvdC2SYWzJb228/X6xdMKF225IiPL0Ni0D1WxZ9M228plyua1lbY4x5l1G7zqbapbvBNVCI
WUWwAo+JbJdf+MvnqGWU/CNFIXTx7bTe0hEwWKsde4t0xtrqifuzpmcB2MzcoF70TY33PVsfStaz
Zm1QiwX7ZSnwCjd1WUvy0BKQBmck5oYD0HNWForJRc8n2RbZiXKmjVZLFNkrZYP36kiVAVPquN/J
LfDFY9njb58xPm5KTaO7LQZ7eOajdm6x5vtB3Y1IpEhFxF365zmVa5y1GEmJHxzkR5d47BkLd2UE
Y427pBxSriM73DU9M6yW9BUI0Tq9TazAdqPDM+pkQ/DgGXcLZjrkqLk2nfNN3OMyNB+eqb4S10f9
WJ4s/2OYZpscjAm/h7MY8hf1Zbsbhduh90MB+sPI1v6xGtBc2mVSleipveDaGlyW+9VUXhHJMtwH
xj0UvLyrlhLXOZD84+1RywaRaNhKXlvaom3gKoF5k03akphifWThTS5y22r34oU1IbNuZmCUtqvi
DPm6fJ0UCVBWZZp7FqHVsZBuwc4/s2XMcHH9nhiz+tu0RaMUjGESNexkSZ0qpG/jk7C9bsuEvK3j
tg7w5y6NNIuE4fLAVTvdNwWBXHIkzt0smS7WMF4XGFu6Hbqdx57xofGVeS2Y81rUt+X70ma2dWKX
AWtmFn5yCBlJVociKJq7B5R5utAunFgCijyWWgcUs+KXkqn96MyWpK6Gz/TCaZO5PLhKdVG2kHk2
jAkwq2Q6lcD7B6jCtl9WMUUP4b1JQxvuuhJvQGV8aUBIcj95o3EKiuKLuMDwhhQ4wy+hrepbNX56
QwHlcvuPGG2GxaF7gOSyRuw8m4uPPhrhzmS+sycIH7ngEC6Zs3MOmeEjJYDohY+NZ2Jpk79u5VVx
KWz/Rnr9XTfgq7t83Recop3xDi2JM2RdErT3IYDxPWNfhpfsU57xAZGys4yWfR0SM9zmoV6+3KJK
noigcfZAbfEyjS5lmWBMoCr5PThdvfVSkx0LEiJuzjSh6NSCleOMDouiIJ/tM0zgOi7W0o8nllfY
ZeBcelw0yLTJua7zxL+sWZW9QyS99pY37iTJaHvc1ZJkJZqbh7ua5+yVg89BYlXq0NJjRCFLyiPa
4vXJWdghOVWDzQNGqlV/Y0O/jRO5t6X4n+Sdx5KuyJpl36XHTRo44MCgJ7+WoeWZYKEOWuPg8PS1
uDerb1ZaV5nVoAdtbTk9EZERP7jY395rA5BudGbusB6PRyPx2ZkwZ1cezTbS6ufbvGmKr2Fq1W3F
6WvVcwq4xHMWH1BiaF+1PjNGOj20RvIh9EDB1joA0Yi5SzH1pYay2FlsSNFq+Eeug0L6g0wA+zJ7
pwLmqBNYkJOkJzk6Z3Mir5EXWWeMqy2kDXvM1nPt1pscaApHxuLbH5vIort5fGIayCEaGDCt2zTa
mA2gRJzO2T3NbvIYtkyj/V45945V+KfBrIdtbyEIe4af7Jn0pGcARmS47Kq1OIKSQeMxpEQBI9rW
0BgWKlcfwlzKPcPNE0YkPJjjMj3bw2HkmZ7WY+liWsHDegqhJK1bkepzK1xzMyE9cc+qKnW0vIIC
Xcb4+GTx+ayLrHU2YNxhHjWHxuQMMTuDv3YpKV2RTMmP4Vyw/g0DH3VISopQw2RsaQQxznHUBG+m
Wzt74CrWK7ZUuhKbKIefO6sNtKrommMB2rpjMDDBSMUv3/btV8S8+oETMO2doN1esjJc3Ki18WAN
yn3I5iZjrXRJ7jOljC/gdqD4Fc28NTm0fRGc4gpt1TbFdH31bZNsws7fQwBL6ZoO3c1khp+mZu8D
gDVjJSEUYjw1qTLOYhrkqh6D7mBMuXfUQgXXUY7Bow/Od0N9aIrrlQPs4JX2trNpdsGoeaGnnggT
cTqJhTW2HW6RZvGQDjrjnFC2H5YsnU0B7WbtcMU/drY46Gw2TqadULZljf3NImafvCB7cKt47foE
7YXT3lTitTH1VWUmdgp/J3r5nsXjbYkb5pDF+tGHGYYj+2FC5g4zcHq04pL3sRZtt2hf2yh4o3dw
I4bko0XYWOctCGaKYeOHVKviwECShX20y4uTjYLnGMtv4GdnaOoFFAdnPmNUNrae6+eHIvP3zpRR
rprG+SE0y+Q49nm0twf1aNplsvKnkhlIzgVvHgzaBV2O4UcT38ZhjovsywaMfMkwqs7QyUu5SRVr
pDCNAwNHe+OCEqYzoAjxfXjheUk9bg28hyjh3PQJaKSUlFMNB3PN2xDtGY6UPOX7xDtaKj5bhTjM
Ng1qtZW4z3i+oUQ6nv2cpDjIVi2JwK0rJjZGyj0LCVd48hXAbuXuZlzcL1Td5hvf5ooyS6KIxRzU
57gyh8faK+4yl2LsyeXfD5L5Znrqi+an1G57LbKJptHIx0vLAn8ya3xm+Ed2SEz1EUrO0rets43I
2uk6C2tggCLML5vfj6mQyvq1V2rnTVFKfhxS37/TUJt2oTlYsBtwc0Y5w6FGmzvUY4JZIX2RVvVm
S8N8oF8Cw5jQwXRfEOEVGNVku+tdX+zHpFzSCCZ/euwK+DLHYEunESTTmuEuPhC6EGo54g7ATDnY
1TXCdqtn6gZt0NHd7J2C4JFm200S23dTkh8p2/ocI/UzRa20V2ZdcRAXDUY9V9Kl2wHL27FtGuvR
zTEQCMPcVkYx3qhssLhlG8mBneuQWe7BomJpdIbNiCSMf6I4YG7jhfKKLbvtjxzFjVG6wb7zKFIw
rLPLCHKhi+2aYXhXYoxwHtl2dmzYDh5by5xu7DB+V7aY121lvNhJ4N4Wqe4/DNcGdoBvscw4tgB7
wwLecBvjiGI80sd8rWzCEilGPK+q5QXwLRAFV7yxgEPAMhv3xcYDg8gvpw0W6pfCo5YOmFtL23m8
4wy9binznqr+R5mdWA1szavAw6KMgx7pv5C/M49JbZwc6ewgfVY8NRLZPXMx3FEismrYwHdFWNuI
G/u8nN6MGpiGv2DUknGplM+Jaj1yye52uZNcU4oQ9oHV340t+DHbTuK7uLOf04raY+jew8bKTc6L
FooReBe1srtkp5skYbgjcqQ8y7nRjMk3PsMCgmSw1FwwOKIzt7KtaG93reHkZBcjMM/1mCS8juXj
gk/DF3sKgw4rc6du5BzodtMpheO+sugqaSr9hgHzlM5wEHMuHKui1gewGnpP/Zcg7kCl1DHpsWoZ
WHWOhhWLQ4a79a6Zh+hXlFktlh/7gyv/kw32bLyjN0tZzbeHzvVEoUR1xAEXHmOUoS1Ft6Agcy7U
cmkg1RBdHJGn3E3UbVQgtyhV1S+2lc6HDIgrAEX8wVurrtNV2Q/tpqkpOBAeihnXhnCH6Ug+zvFI
FYg562s1L0z7VMjmKGWqNrQ3JJsy0BdjiVYEY6r5oGiHrQWYLU94E9DY2k6eB1c7NzxnW6HAxUny
qmlIIhuHIqrXcU4xrvG13VvXOcaRZHSyrWxzokZ29r6w0EMVCTC/hOkjZuN475FG2LdBnb0YJcp3
47Z3NIHw/5WQbSOEFm4wE2PfYp/nnDwYiK9EzUReP0hzGPC+DVtIvw7+bqMpj4AbScqP47tbDczi
WcWP1G8419wUJMeGmErglBQgFoiIz+wwatu/eFHNpBpdqIbgmPLvQhsRKi5jFKrG/faQuoAFTuKu
lKm+JxLfWJts0cNBJIwoqRCYBQkKTC3ZpfOr8kSno663XZJi5DDCjmaLcNKM2olW/WrTsd/3Gc0X
FSdNDlSZ2hQ4ozfJbLYgkj3GZKwLU27hjvOG6AIN+1y6qfESCpxCac3VY9sZlvUE1YBQpvAzwAF5
VaQX3XEk88LaOuCmMM+M10qezrLAUaEn6d14ZHXPYdQ1B77E3poi6S/c5cVLElCPwXi4+d3FNUfH
0OkuY8uFqaTE557UYHRryMreN3Gb7omXcACyZGNRxaDYeYe6cC9MfDcthz/bChZOLCrFJWhd8agK
EZ3ySYgnFv7yVkk73g94bMABt0QwBbycZqfNQrikxWomx3FTs/Ux0JychiGf2yiUsGoS8YcvWS+o
VRyzZ2H5VxVA5/GmsbxLm4qAvHZ+aFOwP00aXWIyIHb4HeZJ8cQx5D0NXMp4s/ZeqO5JBJgDh0Xw
UvN46Oep3mWcnc9amzyuLsKXL8vhAFa+/KjdxDv4tZOu6yg0t0PV8xQhD2Ity+Y7Uw2Efc0cTies
B2SzDBZ0aDoIdBIk4WILq5K0vvGxgK/rRkOtjfvnYaJr2hTta2I1zbpNaGekVlPezH2UPExG1/xy
QL+TdQu9cQ+HD5ydcqhMBGizx47/FMdBcMT5yHFHVUxX1VknacqCp9PTJLzfCcf/lU3KfpMhQbES
aJJZg/KDJysv2Ew6zIHEh2AnyTm8U958J6E+38fewiAe8npX9eKrjH0eRjexr7rgbNxikMN/Nxkf
A8SfbVgFv4Le8g9Eewk5u1BQJwzYLB64ZRkR5elRD8I6sOtyNRanhFPTM0xiOAAWjx9GL2za2jcO
XOxIkbT5fZ9IOn4YTO0wrV0sDuqdTzTVnlEltwNWnCMYB+NmmHSAiOE8xbXkx2UF45UWwjfQ42Gj
qL2fqIBf2Xm97i371pgb82IBDMEy7KYniyIB+mYpuOCakJ37Uj9YC/w9bEtc9djXTiIMHif66s9x
WT6avEQr0x13gAqCre7zJzCYN1OPJ5hIM5gYQYRgNWcWXfeums0Dsc9+JzjhsBYijZKLxm4Et5RU
1jnAqrfQElqHhxkeGy8QCzKtMPUzaHT5XdErszGqOCDMTDe3H7jdseIx3Ex+zayeniPKeVkWr33c
hXftPM+nqZf+lRxyvs7q9NmNwH+DA9gpJ/jAdn7OdXTxUbv3jttxFJzs+4BzES0Pat025NaK9mVS
6Zs7VAitXR2vm8pbGdk9fIF4MzNgeWxp/FgLyuofbLNqz5S+9puBpqYXV6SSbNbIkUZ3kDRaf4Pv
z9s0ce1sPb829kUfEAy418yaaEmKU9pC5/GjoF42XOdezbG7b9FelMsbEJXuxVKCuRglN+bWJ4GD
e8nfaNgRFvEfUhrU4e59eqO5rXBagMQFUT+kHZUaJNcxkRwl9tWmCPgYKc57wS/rLAcg4NW+zstP
C62B90eJ6sI3TU94kZ7xRO8RCMWuYn27QphLvbUB9PRrzjiYsR+OwPDn4RiR8FgSp7355iat8cS9
377MPMovugS7qdHY402m4u6WdaHD9gRP5JfUwfAVez33OkSDYGAolGXufAaSmWSot456canSvB0M
zWs8ZXwIzJhgVeDCSafV3CccM/N6KXyyZHeMdTWzXLXm8D6anvusYisu91Rau9cSv1KJkuk4FadB
OtYj1zdKctQaN8Yc4fPjT5I49RpGYPKs8rE9Mo7iGEdDb7LjRu1gqiqgr8iqJjrgCfxyAUGit9Qr
v2KMJ7j2+y+u5ZDpm6RKN2YjvmD1ci+SM4IV9GIkkU6Z/nkQ+KeY//Ef3rWyu06UonKkNDFJQgoF
Bs4y0F0NW3afdi4Sb92JsNrVanDpbrar3Tw48uiHkbwyZdU3uNLxbAzMhFtSOrs6yd17JR1WtNhb
fLCNx6enYmkfDCNsmT/FS4EHYx+UrnLFUXH44a+jdpTIQ0HAKnYgyfkgNbQLTL/gg1P8dus0JIXe
0170iLIW72D7kKEiw7X2ye31pNQkgItpTuEbeVJT7gtx57Oqmh5Eco5xpDNy7Jg95hiBKnvwdG7f
5qOREQYJfQBwGMhI18BtHwhqA1702Pg0zU6psW/wWq/xhX2UmD8JWITpHQ9+s52NQB0BPYhb/Csf
QYeiR5UqdSNqHN6dmlrmzokaXOjzHX49nGF1EayUOSswMPRqyb6Yidu+1ckm6zDX2gIzc+JVfH1j
PUdwWEjatvsgwfdYDqQGdVS1W5ViOdTa8uBGt2R+XW4d3tweuAXGu8WN/KBqk7VeyV867ONpm5Z+
A9VgaK+pj/ilkcAeHGyq1LgCVnhi2DQT7U7D+7Eckx35If0e9tZPPiM6ZEHo0DLUFi9lwt4BlhUk
fRAk92qkUGBwJYlECvOAkTNFkfM6ncPgnCBLcuvIUqAJyuwfiA0UBdlwzObrQpjYUgNQI1xLHWuD
OZJ7Gv2r4WzrRz1l1iFx1bB3dMAFrVqmaslxcipGpzZt6stO7XHx2HpLwXaNIYDYV2NiOKqXPDDA
aacfSHuQSaU2cBy2lVs/cTPjlNI77d4nq39Nx3TYFRM5wCkTv5i/hWcOIvjxOU2ui4YLzZQU8uzi
Y10PaZpv8WIPVwLO7qtnzNsiMsddSgPjoet775DVdXuuZyvZZaozH+JRDHuGDMicfT1S/8Gppdn3
5Rg+xoOWN8iV/CopQ0GvKUl18Dze8Vd1OB84Uw2WAOcU0zUA6NUMBmId16SCy1l7v6epLPI90xfu
gEzdNBTGgAy6M/P0oKVSzuioW1vVd7RubUrUvGuje3l0co8OCVO6FcmPCDGuMd2Zf9AORFRqCmkC
SJgABcnYjZKRilfZ6jvHOoBRPg8PdpTz86quFnuLg8LZMfUhL6b+AyshMIhgMIh7RW6ZvPD5/ppE
k+41IgJbF3P1VVRYXNt0uJFp92Y6abyPnQTz/mjFuMsdZDrEHeZ35sZxsM6tZlvJ7ZjRAkm0fThP
M0AlvynVO/0P0106sT9i6saMGHMxaO3q7JUuyb1aEp1fMTPn/N9McQL62G+Qi9POxifOCt1X5h2z
hl2yMPgLd3q2yCN9z0aRPHVB630zgQsurrJOiUptgJJtSIeGTw6iZC20yAhoo3ozGMjeVlbTrtyy
tHgqLGNjgtD5NQYpOXodDpnA7CmRgjkzfKGBcvMQjX0bgWbbYgwCwuBTYsvgXx+hVQXAxbRjnqMi
4dVOewZMBjXfVDK8h62mdICgpCQ6NhCXbyl84x7vUkCOWMk1wRnJwYxWesCzQ/avUs0rwtB7Es+f
ow5ytnHZPtsizo9J49Lhw3aavFncP1/7CRoAq5A5HcaWczp3DWKfKdRqmMvusImChOBMpst7fyog
0pe+vKUIw9uKOh8PM9FwUiu23+8sEDDOrqwJ/mHZTUMS1CMNb1MOdmi54GTIErvZa++ZeIEqSCqY
BlAE9IHYZ8Aow/D3RqPFfeWYw8UzmLz2rEcPmDyM9YzSv+HQru9yN3IOou+jt7gv7WfqVSCPGrhW
mPaYmDkMBwSHWvRxI2utG8Ir6E5mW/gMvKDJj222qRIXMxEgvmGblBNC+5AQ8rXGaNMblriYKi/X
PQ0+WDFmKaiw8r10A9uQGJPX/U6tpCf4HGIV7lLsDG2Wz1thW08e2v46Ma1gL1lNwUpOxYXmzDt3
KOddB0trJcih3UxtQ6Qq0fpzyG3Q950/+vcOw++WKxIUCpP4xAND2uARTKa+Y4C9VCPH5dmY4Iw4
pTmc0tajbimKcrW2q9h/dCamjJPdv3Xo0OR9VDtf7URnO5w07Z6tFL8LFUK3ShREy2V20Zy5DmlA
SYIz+i9NQZCio4WDoyS2yecGv87dOGhXr0zlpC+6mZkRGP6MuQnS/bq252vLA0EdDA5fHJ/esYuz
PbQsEllFghwZ+v4pdd2bOsyKjbILn+6qqTyiZRB0JoPHG6HHE1jc+Z5KWfTN1vOKdehP5hu107g+
aAJ/NaT9ABGGDqh6vItbAAdeyC0ua0HbFaMbbwqd3sfMCRPcUAeotbw/QTBB1q1RXnNd3mQVFnE6
8Y42x9l78LLoBlyiLmQ8cKlyebKvtRdUB3S/L7+rnxxzOkfg6DiJuScqDhjamH6kDmmozbe4bbxd
l9OS7TpO8Wwpj4WrZyZ9LNPyZFVSUSiS4QlxXL1JLNG85ER9rn5HDptrcgN4ikE1xlVJjzt+pWbd
SPAIURPRnGsk2DqWAEdhNvWO3iQEAK0mYeLnX7IFjpnfs0wPBFucTG/ZOaodM0nzrMTwU7cWWk8X
uYcwGZH2SEhTR2DX7hr/13TCT0BXexDpp6GP9I1fhuNhyU48YLHMtzNptdsosMqHhsPFwwgij8Rd
Ub9Tc5XGBM/0cNaFCXE+sPzfUtvhC6Wl0GXAXBYo0mGT8ebPzS3jpeC1JJC6AdKHahDDlMyIXmzd
pR4qHd3qWMSeuLcSmdzYZYdQPsdLWGy0+zu0gfgrH5kng98BY28jRGJ3sOR5kp3zZmWjZj2bO1RD
7Z7VPAXtmqaFHN9WwjzBdYKvJgycEweV6AuRkDNEukhRdpPeJ1zCodu0yj35/dsiBb2aIa6sVVCZ
/fscSvGCupG840+jta0hAhwFhL5mWkF/YsOxHiYtmRyEVf5Er0O8ZSzA9R5EC6jO2nt0Tcvcx6px
1/CJ4ochYnwOjUrlxIvS7DcFE8NjyfbKYGYKb8kPuKRH67w4QIVxtkYahidFFHfXdOw1XJ5Lk2qi
aXxHZpFXRlb51ifZnfHIO90tEwPnsVBcwI1qyh6zyvhMu9bfyZb9U+XhiVKVjnGO295GjbY+3HJA
Vsx4Z8gH9cTvPCon47otsNjMJPay1KA00RgeCChxABSjajd5CRZqbhEywFePJN6E9VukfnjGoUP7
Rm0okqsTwJ47yeFgxzAOag/5jf3YNgWPLVd9rs6oBUyjxMNYdeFDGgTVNsII8FSGySO7K2cel7s0
2699aOnwYZYWZ+cuy/WzHAGyTX3N4MnIiUsIjrWE3lT2GlCfhhiNp/9toJMJvlaejsgO6NszvhqW
qMTIdp5pO+dOyPmjrBO594EArWmBs9cBV841Ta9sV8z6HlHD+oPrkiEc50V7r03V/cZcM639KnIf
ZwL4x4F+LZh5ZJ64dAWnOhslmgaTGF5VsHZOQWJ/6Dx0hUka1gpbXsJjyQSbJMyQ9PfFbPU44/ph
p4LQ3+Em48wZJVjlGd08dgOdnNHQuQfTgea87nyLWqeJ2fvv2ZAuO8VcPmcxfwPpdDYtN7I60nIZ
3rSpam8JQWaneEEtRDNGwRUpBJ8/ufXDgmNch3Dq+q3MDR9wXE5Z1ep/4hVL01Tk0w7yjEvw2a9+
3KYKgYGE+XveTzQ5wfFOnqnfJnuD++puKMP0F20hw41rM3RBp8UMS40kkRsnLe//fzfCI5EHGLb/
cyf87XfSxR9/7U/480v+tMB7fzjSNKkzAlBNzYcDA3n8WUrqfesPx+Q/1wLs5pskRv63BV6IP1zP
dami90xIGezn/zLBe3/45O8lX2MFjm27/y0XvCcX9vFfzefSd33Lt6XJscIxpfU3wj2+tYabSj/v
6rxqAH0Ubl7iFzHMa+y1sNu9DlULLuY2KBjPbkVehBcUn3wX5ro5cx8kD4qEHEJhIYlN7Ji0sxBk
IJH9Rq/dI/C0V20lscda3estllsf7xW1YCe6h5o3AHk54mHFodbOY+a9KdyxYui3A56pAw1+GHYd
DyBDw1kv2GChBwZQZIKYXzU5alwG1m15FH7unBNMNFzGwQjS6WIb1xHyS4OFmRgG3kFt/ISdQqH0
4dF9JgH8e9McabbDKHSqVLAU1eLGuvikFl47c7EJWWaMNzSr6SThsNsOhDVtFW1olkxf0j5/H3FG
X5M2eQoRBdcuUyESpbL9YGAUnx3RxA9h28sl1JVfzSQVez0Y3db0EoxYIJdYmwyD8jbz2FNmvSNq
PW8D/nRbK0pjLI6MCGksHx/aEmkbAh0uXZ2fBdGmddRl34LRyUrJKnmgWI8jjFXnhLuG6RfganmJ
XWybJNoMrDWJzDh2pL5tnzJE8XndmTa1u52qYy6lueufDfRvRmFYUdBncsuCgaBH5nFs9/6zFc3m
nSSG/BAMeY7+XSaiW5m0Kt1mtp5gPBWi+6i8eGyO5PTVGZmaQYQJ4/KWIk+K8CAYMy4q2tSrz2Nt
cZ3AkxpTguSxyTJGioK7bohQa2TPEoiT3ilPne7SdcguS29S6KOaRmhlyW5ZRzeQKFKKKztBPNlI
fxmDEruwI0df0ru3/EpD/tBEgf9c9527dXtfX7KuGG57zHF8lACyUBW0vwRNx3Z49BexYEVKQbwq
d5QvVW217Jpja90TRpG3UjhDQU45rA4KrfhQBLD/1qOiFZQIbfTZuEl63zG73trAVxr6iaYJuxa/
ErtGblW0euZL9SJy1kPsKf/QexmSNT1duwWOQttZNlSHpvaqK63T/S4aHgV9DCSnwDxSAFqNjUao
mYYbGALN0QIF/U7FlLpzybtSHhrTlNSWt722buxpYkCm9HyPxxBhpDH4kxktAqVVNLACkZX3OQlb
3mpaKdjvW7AIeO97egpb0c5bFaTtvMZATlW8YY4/eK/fe9CQl7Sxy+vYBBpZdgRxk85ec1Bd4Vwq
qHenEn9ExwXbCm/TrmMGDjipPONwAQgpRgvFsTUT757TZfdCuCMmYoKF+toFVvumxRKls9qafijP
rxahhljbcfRFp44AtCUspsH2p1+Q/xL7sYOgsuncsvrOg7Gib9hqpKwvPs8+wisG0sR6hcWr9TFO
PdfihjoglwEzyjBCyDAkmlpRTbpxJwz1vVdlAaY+xOtTgnpgr03CBM+EIrlE4J57JQbuFKe4SiCI
m1mWLhdZmhYYvwkM0yR0M6wqKn9NEj3uVdAaLqlw+aKaYLxYdt/dGCMDmLzFN7SOhCS/7ufa/Pa8
1Nt3Osyv7cKuZjrKjLhPQ2ogptlGlNDTZ9mF1nsOZWHttUsFB28RKywJd8qxaubVDHTI3s4usdvc
aarvaOir+xnG4E9qdNMhoxjuux01hZvC5BtbIaTubW4zet7ryHa7p8QgtsVIHMcZfPvK1w9Aa3Bs
eV2nmew3/NNjlNrWpqeuCZA3cT55CIXOwk2hxiK/lgUz02OhbFVgdklGxYwnmp9S5QhGQcRyKGgi
ac/d1HdoDlsmfDjeuyC7ahdSYutF9q62YjTjmcjfSlBxsSf/sBRDVXyUeXSbd0V+aX08rlylNZo3
ifuVzcYDRaarT1hO0eUUuArYi7q4RoxGniGuRpTyBjBUZkfUv1TLr7NuM14J+Jy6djeeauxzZHAh
3jVeQSC7yGtKcbKoHLnEJsX0xXlu0WeyKfiMGzLSnKRxEK1qL54BezQwBPa4xWyxNYtpolI6cR2o
nDEDm46BptgSdPfic8jMNdlIpSLm9yzwya1XmS1ld/FYHdOZUvixhpp2zZ1qPNguczWrM4pzhZRJ
ISH+fTR+aCIp2WAYanH/4GmFnzFvzY+mn7Gqeb6NTh7ihgLFgwBrdIa56VEX0GXLAVeimDP5AZDO
zDdZreUrdygVrB1Zp9GBCsIh3qpGEipdDOQza3bag2UYyYtTnvTsWv342FOGiOIyTP2jtM3g3PAO
r7QhnAfmic6r0QXFmQXbOXWuAd8obSP4RZiPgtwB3iNjOt0ZzgMGP4meF3bV0RPyXeSVk7LhOISa
UFY5Kic48ak05KPkgoCeQba6hc+2d3LH/k12cFK72vCL6d4GnP6M4Zn5L20n/hkHmoz2CcXYz6lO
We88U/b1qamCvt22RdPfGh73qpUxiOC1zvEA4SNHncUK24D3JDsEUcDAv0p4jPPaqijazMXH3PFB
J+AHittOQxfb+viOKbHNzNs2NVAHC5vs2bodppIzBAoH6JtcvTcM/VFp5iWjjQCOxON2jx3Qhg/f
t12gBqrzkq2KIhYas4gdauAEgziRO8Utv3VzCmPD7A6yNkncZLHqfjrEVKowoxGeaOgHjneopoX0
1iocv8uoBMxabMYs2HK2DMzkfTFePQLtM5DCnhKPCC/tt+ULF2dWOVSnLm5shlJj8wVpLT/UDd4Q
5Qwz0rOGoQvAmngG/vNi3tZVk3JySM3o3Q2j9uKaKR7wJJ/xEExdeh2s6hldGkZm3iWRtfU8DwBC
26XbtBiwtVDe842fOGQrC9u3uayqY9ssQbZBSQU9qg6SVUxNKTEPBuOFSgn45ZK+8V2ZqeYuTbB/
YuNA1FvlBNJwNzRUMnLFaRVNkoFlIRyI8Y2pPiOaLLPSaGv4FDEbjh89E9+If4jRMkkNhzGvtpWq
ZmudzCWPno6KZjP3LRUeEc4Eqh864JGeZeO7CrFGMLVX6CSYv1fgHdt9C/QCpZrpNvyCeTtP8Z4D
6SEzM9yo3MrKnTPhMqf5XfarTPfVyfbBX43LGN7sPJbApMg6+gAgEDqQktbs+8tokqfyFGGYoDgq
ry/VEI1PFCWPa8DZBeETR78HjczzddeazWeECJpw943tL6wB6zEctmFWze9xKH9wcXN9llRQdaHA
DO1jPYTAiklwFSh6APZMTyfsfOjJ+2liWLU1+tZ8sxx2o9e4wT8HUcB27+xB+sc56YBo4pGiGDXq
yQLhnVNQQ1VQZp/oWZr2PRYIrHUV6Xjpx8aArB3UBxJW9rpnD8CrjE2IdpXxJew1IJcRdMC+Szll
kmRnYLm41RsctNPB6Apfr8CNovGUIhifqAKnxBsTZ7XHAl98ehaHBJFkkLMhThnYxI2CU6eQfG/t
t/esQATxlGkzQsjwet+ZeGkvjmlFxoY8bnCXpWX7aBJuyvYh3ICa7EXZ/JIJEfJVV6elteGANr37
vq6/gBLwdng9jdNnXjwOhnRsVB+BxL6Cbc2+oEWJu0Jb3bNv+/R32rViWGpHkpisgEi+BgUW7Kle
1weenhHOJsHZb6ef4C4sKfWztEEnstQyiwcHOfpgZKbF9ZR2oHaFKeJDnheYqozOi94E9XII8COg
ylzlfIA9boZ/xCWtj8Dv1MmSY3QdRYFgNvnLEWyRCNd5MYuWw4EdUjdJY9EKBnt3ocu1nVfNMOEU
mQWe/H1cOsUPi0T6kY6jdyXtg4I16abc8jeDogd7BMpKj+99A7ImDDdWWL2ADRjOvKwgvJLRWA+1
bZ0Y6ukV0rWzil01bllVqTBgSmxBxmXiuIIEaMdMXKfoGd5H8B0FNa92G8vsE7RAemlrFwCdl/ga
Mb9rrU9bJUDMzThaIwmJXT1xbxydst5WAus4dTS0qGfpQg7MQVfN5V3lyUWUMuChBB1Y41Vdpcex
7XAbskjCxjOhBPiknJKMkYrOl06XGs70dQrK9LMWzPIpG4iwTVnZmwgL8zEheoPPiT3kZqjrcNwL
i8DqmmEYEwteLJMgtOkyaUja9gx5yN3qYoS9ir+Y0cEEb+pxAmsrgMvO031A3H1dOTXuSeUF3nmK
SuRXGKE56S07PuiZwwUA83yO15Qux9/ShklCwYy/bcCo7EsQuRFMpTI+R32g7iTuhyUQYeBGG/JH
1ovmEjFwXvh6MOuHjPxuP7LhTrSgMjE1TqQluFFZ+buXstrqwIke6ef4Jwzhn6SBu39qB3/t9Pt7
bZAMJJ1SLv5U0ww8ucgaf20ooiK2Key6x/bcWul9Pc79jQP5YjOXlndKZpJvVsks/y+ay//hh/69
95A6LpAdNiZnCvuE9fdaJAHBbQ69TO+R0fILpwzy3+FYbWyTDFY9t2rHlUweOwLTP//1T/57B9ny
k5FNLIA9DmNy52/p/dp1Ry8vunnf+CBzVozjh5WupHHG9ZPNqzwIy+//KyLblbkV9WC/+//Il/gH
M+Jf8In/l5gUEqFKUCf6lw9oYWT8SbRY0Br/6388/eQfZfRR/gdFzvrXV/6pyll/2ELIv9ST/rsq
53l/CIgGDpzyfwhvSynav8AU5F/5jF3HFb4POuhfqpz7B4c30BR02vmYaigE/Hc2x58PL1iP//QN
4jv+XZVzab+SAkIF0iB8yr+9Q0nmJ51NdeiuM/sHudhnisVIg6itdgFG9x/QCwxK/429M9mtXMmy
7L/kOOkgjaSRNshB3b5RdyW5Gp8QktzFvm+M5NfX4n0ZUZEJZBVikqgCahII4MFdro40O2fttaVS
B949C5KdtVwhwXGwb9qoSHl2E45aeJ2MgfSlXSAeaw6KI8b5fBUtiI+3wD62H3pHI1Bk/MD0fjcL
FDRnIzyWN1bdZ3ulhpJlSMlQMJZvkgaZl24BjOq/WKO/uKMFQSJw7B9jrbuRsxWWmwOnRl7HoW7W
/RVhwlpP+dTcbCdENv7COZGtYnxxhZ/4cgBCDQsT1aA/3yGhAJTKG6c5ajKVP7loAlIV7Ntm+OMF
sOKIB2xVoOW7T68IVuLQLL6JDOXeLnb4Yj8uvFaxkFvK9IG46AjvjpVKgmfzCnkJrvP4BWoZESVt
OKz1VySsi+z4vsuy4aW5ImPMDwF6TY68g57urMkakJe1+qs08/yXYS/gWZu17X2H+Sza6IVMY4bv
vgQmLVWdbRvPUeqZb0a5wGy8+4fjVA/6MgQhRRSgH7/9KwAXynH5h2dciFP+7X0EgFv6zaFc0Dnq
uaHo+DYXn3JB67itLZwFHn3+kT7sHQeVcp+aiXUvch456/SK6ZWLWss3sJWhm0DicCX6Jtg+Jwp8
ygT0qfRg8hHkQQDCCj72ODJWCLk4P7IypuGTGGWwjheAMKQqg9y6p2/5gepJT2LkNvaSDvptmHke
kXq1GRYkMWWAslEzbUse85SXakEX59Goz9aCMxoA7mvOe/W9p/xwX+bltDY6pKyRIm9E/yGJtz5H
J+jgnhUQuTs6bc1feMvnE97d4KFcSMwp4Qe1IYX42aXFuDPtEUi15OREyfxzXes1qkzedcR9HuAe
9FossGdll8Eu7H3nI7b66RwvQGhoEyWR4O2217Svplm959hTVuxkBm75wwt9MWCkuJA5xnvKjZ/y
UR+aMXmohIXEwT3Jahd6s16lBVEBuFqsTn3Vo08mGL42hUg9CM8wfub3gGkXV9VHlboS+V8HMkzM
PXhj+eQ/O11Scsm2LdtHOIy6hQHs0pGGj2l6ErUJN74gvCZfPvRjXRcAnyvCHn9Bv6V0XorEd+5c
RB8Hq6mp+54WdhiMOf5GZl7tGm4i3ZLTbD/NK4rc91DJi8KDC+OCKoc4Fpe7opweIHqii1MjkmD6
hxZAIE56qKijxyCzgNIj5lXmn9y6tnQ5D+/VAlrHsaNPk1m4dymiCmyv9jDzN8FrZ0NvPSpRQ3PP
ta0YYbnDs69G8bPPPX2QmlGXWnDxqcOAfhAycT75+Y6/IznYNtMDi817sWDoVkBMhQAmihB4O8+7
TxxOqtMVYYe6BmfHEFPvdbhA7jmu5n21kO8R4cjnYaHhEbmLJwLc9k1jkMFZrmfyIbqi9EQxaMJp
EPPue7MP76FBrcuwkPiJBtaHT8q/4INKvqsLt9+WbXeTpbD8gTUjUFn4fivJ/LviCv1znWD/7xGg
OkuOXAdV6/DM9SG5sa6hAf8aIGiWLIHhSpriPRZ9mGosogJpl18YeJmPjhgJqFQWQ6RTNWvvZ5jl
pr3uMUt9kZBnSrZs9T2zIrveuDWuA5iNeoKM8RMoyRXuYOoKjDLdxyiX220a0/RrUwl90Kq4MxNk
IivLcI1NZRNGiaDKD2Dg+QUdh167/OJuWwau+4b/ga2ZC9adNmdKBFrEDtX9gAHwNh1z/4tigPhW
hwEcgSjnU910wxlfB6H4zjU/l9zk7UByBUVhgOE6d70zsUy+hyKUN4GqiZGDQJKibYszNA8LinK5
Q1Ag8Wm13NsX/8DBpjCI+Hm9g7p/TWRWkeRgh2KlBORqEW2MJB1+O2X8J2krbytbtAFRZsXroTTY
adg1012n3ru967Aqie8hc0icBNK4WEbhHaY5LI6hEZzMsEGrikLb3HaZMb1NVcG6JrBCAgwBC7lN
GBrVtnEEB9rsmdKXkRn+4O/KqHrLzEkc6YqyNrKJPxODocNJAP/Sa6FY/+vQ0XB7/YzvInCGR2tw
kltWQtWOa2R31whx9nz3Vz9WB+bhOFkBXVasQfp1PjHa90txYznd7BNcYcywko2Klkxb6WxK5Ixn
QW+Kz3WW0cRq2Qfv48jk/9KSne9rOzk1jAnZqLgTjYNzxM6SgG4HOhUjrzkMTfYBQImtJJP9OxB/
q9ZBNJEEm4gCFBFE5rqwsfnVXdbs51r72aoB2Fl7w9if8yhM852gMmPTMr1mmGvYf/IuHGIYUZy4
W8hZSFbTCDPWKhBILBha3gPskVjXTKLFyTFnifwqyra/92Sn77mkQQEWmb+BAaR8U5GCxpp7W5b+
PZ+WTHlUTcmzDWVrrwPV6XJtBXp8CYLot+LH/X125YZjz627GKHStk4+eCDWjxRrxLhhXWiCZmxH
PimcrOyyxCUZ4vndCGtzG3rZSPNYw92JoSgWSZCata0axmrIPD9bkdIGt+C9ocVK01e2ZGhoeHSY
VM3P0huKQ0gwOmu99oSct3+okiB8wQJa7fNZu982g8I3PTjVToCR066UFXl8QC7WHHSh3Go1VAvF
VyGtQXXjFA+8A1gtsLW/Y5vLGJUD2UsM7XEaW2M81cIPN3Zdm8cqdzteSJ57Mw8FfK0v4sWDydfK
Vd38JWrXPOBYbje2Owe7NicYSCbb3aeoXecu/UkWmypQMD3P1TWMGMrhllm5iTTZHwtoOT/vt71u
/tiOHjid8KNIFmsrTInRv6ZdvtP5xpHGRorpYpB/xOeARiGtJvcQY5L4cHmeAVBzpHApkom3kDK7
qkPnJWZ8UtDs/kXC+d6ECF53edUGyIMsBjBTwAAgI6GGdnhNMEbchUN/FmL6tqwWUpkCJpM0kCPR
r2ft1mElkq4ER607lS5AY6jrczeH0d7Aw2y2mreKgkZ97tjPIgNbCJF4HMCxxjszZMroqRaTOcUb
m2Ag9t7q0KahnhqKyanUzuZRFq1BPt/5Q8NNnHvzJ9bIcRtQlblzorC4MTGIvfL1prTEkT09FVUV
e7sqSomch4wHqCCMThjIvUs18C4P4LvPtByl94L94t1Eg8UFP55/k5tFerMk55gh4AJ64DdUjSsw
5uaGe0h+wRjl/pnNMaSPJMBUNQrrzu2FPFE47v5RUaCw/iuSWzqKn+ymrs+uKR3QTob472w1ulse
m9mRSQobtdr7Cntmml6RZCStkv6ucyz/3XE60pB4c4qVxYuec5GdVLfVVFO30MSw3GUeQuxGbjXx
9MB4Hs5jsctaPHWAuPJouN70GCRJOwP+9acy9hY9hypO5JSnF223xf2YR2+l9IIHM6jSd7K69cH2
YOin1N4juE+3U5jUOy+W1jZvxhBRglXeAdDypqsCLGucm6BxeTizPYjZDKXuq8lVhi+zz1S954HH
+bF8i4rY/aWQc52sEImM27TOjW91FeqskDjxihF2dAlFtqwhZA8dO49fwZSltOHw3gt8wUeeWppt
PN7jo+eF59Krf8puCF99I+CUmUtzw1LgvWnC44xrMldLyUSefYzo6x94o44mDoW83JisAVZ0DWxg
dmmejIF7fBQCjNP6Z9DvHD6U/MKQDMPRdi3rxNonIz6bQhXnaXDQEcocE0crA+nk6GW/9WAyUmMC
cUwA7H2OsMSndNZ8TQhbzhnBMUxAJDtYxZZ0j9DfAJLGra+YNV8+Rzv3hutPexy2zYPuCyB1Mimf
S0wQZN8ajono9Ar7h7fi6sNxolYGm9Opu83hJpAFxtNTEMSEI80k+0jxgfGpgCNQcBp9cRkTx8Ft
wPdR9K8G1dU/DWPWj2DHAJ8ASdZ74ZV0b3mq39WxWR3ccVLpimhkpWiQybn0QI08NH5OxA8Ko/VT
oiKDwpblVxO9KcsamJK9eojhJfl+uTgN3qZi1PxkQVUjIiTGG/S3rOfXAC8br2RjIWEnmNX63xQ7
r0jr34wFsitKiNYjuC8iN7HmeGqeUtmYW7qL/tR6POhQPfu9z19jDfFDzCtxxbCa4IDvhbvJIfZN
mqY74gbv3muzHD7mwWq2Cm/gi+EKxa68DL4MzkxMa/uiXw8N6XO+PQ6AzUBr5MwSQEKlvXt+0HM2
ct0jhbv1HjQDZEtNI95H8jsm5KU7smS3jPGmxmvPNJSKs72wUcqwW6zJzYylvwuaxP8y1SRxUrV4
GieM+7+UNCRxMxLxL2jMrG2lJnXX6Tl7q0di31MUxAdMnOMH/i2akt20sBD6TSbPsmK+sDXFUOPO
48VoW40NXKfElpQnWEV48xElB5xIrpqPcApiGmt09Vbxflu2fPbRmxwCXqlubv1OQIrWXSW35CFN
5PZ1eencjigibvfmjzmHw7OBsN9btYPT3pJ2IEfQUye1Ig7sv2ctamUWrd8xcbmTQ5MiYa4pth/8
0DLXOrPjFx4cHdQBINGmMtz+lkwNZYeBEDsDZPytd1NOrrOXPRT8umOgzkocM4N7lzUNJcZzO08U
dbIQRtku2ofU66p7DtdsMOyQgpwmETxqal6ij2FZoyHGEZ4diUb6+9SamyfSwuBJHOHARIVyNopb
zA2tVSiHs6L9KU2WpaVNfnGiOfbFSa6mlcD2Mc0PzK0LKVZuq2e4TOowMazrt2G2B5yYgXPBTMDb
hLLHl1yM8UkNVvIZej3vokDPdy6lXzbYkhneNOgtb4uWiq8I9xLLWcLG2F3Yx8zAoyVFANL9GBwj
qpauJPMjl1ZKp703j69OSmSd0m8E4CuvY1cKUwvbA8FL91vpc9ut6XvBaJlWt7zHq/cISeHL4NU0
pVYOFwMf6nHyRXmPAdb/CfjgnXAVjkifBnejDZHfufXEEQumH0zLS+LhDcW03LBjjO4DBET7Bt28
B6KTyneqDQwODSb7j8rPzthTOHXGiYeMjJDu1lsCXAkaEr61/ge2ZZ5gpLzmJe5lTtzB+TystSAL
NiyU0TUdll6TYsUye7CW+Ji1BMmaJVJGDKE+lWnbQ07Mnfw0HO4X4zWHpq6ZNO+aT8MwT1MahUQ4
IImvtUuQLV4ibfESbnMFeD1pfRJv/73z3/9gH/6/RDcsHQUY+V9Tluc/zUf2n2a61z/y1zyXqa0N
u44G22QAKz2LgelflKXn/GAiy7RWWq5AgbP4hP82zxU/mKxYHhtzGycigv6/z3P9H0CcxDyUJfi7
2LD9U/NcIf+zbJihMZNR9kHcqqRtSz7Xf9yJqD4xNNvpdGsHEL0o1RgVoYuM1xGnpBuOWw3R9V6w
GZzLA22BHWcqQin0sKvqFq9898orGkCx8KPkTVaNhjEyi/JIlJKjN/Ic31vVhGnYhg9cjyLSyccB
FWKM6qouvzgP9+RfPdWcelMCUPZl3GMXhD/G2DFzmdp2qDg46MYoSmgxMCWb+yz8XbDeyKll8KWN
qoYzyarL8BqtJmI8xZnfH++nOVFgjU0oGm/c2QzOc1tzyPMjU77yzBKvgSf8Z5RM+r6cO2okhrml
VagwwxOST9Iwyz2PhrGsVwQD0vmuLTRJOZpJUJQNUCXDiehWZG4psGnYYLG4fjJRcLg7suRxRtZy
5pcaSy3dc9o1PerKURQF95HX9jN9oXNPYShqRcCfWmf6Xg65194I6RAk4kmKBKQqU8dbRYnFxK/3
wobfaPqdyM+N5Y3oDQ41Zjw1vLgT0z2URFudtbRdenoc4sJPehb5QuCIONp13Zh1sK3dUqWggOdW
UlfpV2qUc3WcrD5DCtimfAD8F/6byYr9PmX2fuA74zybdOwepiCY7oJyUg9CD4zrYmC8cdu2WM6E
zUKU1k5y3HsZNumpakYKZxxKRV+4bXiXtDbllzn6NnSJ7F3YzX7kS+PTQUpzEAOTbe+2mJ36uH/1
iVtw3ckc6sp9hkg9DJhXn5O8L54cjFbcxfy6BgnsLEMfnZHM6Ror3ogzjI+AN8kc8m3f2/YjCs/y
4IZ1fIEE7MoVbyL5BTcLyk/xMUezVNEYkNArdlYhdQ5hb8k/ThER+wtmF6qLYhPaTNtgVkcqWxNO
6ljmAjakGjtQYclflD1Q6cTJmjyYnhWVWDJ3KmenTYFjjwPRHHCUYlHByduhjKQfeu+9LpZrHN6/
9tRyM0s3TkXF+IodXeyiE2r6b2nNo7PhryiYb5vEvdc0dHCrFf5ijgWLS5gqF8EFi3AIlzbhaUpH
PjF6ULg6gkxO+IRD0TU3NUKD34vt2Tz6ucGYJHCJYMgsKXnjUqmBeIjf6PyJjC0d6+CfOBMQNghD
rFqnSV4qEmOZ14/YhRvtkTSSmKBMUYMye5KqLE8nB5OD9UshNK3T4IFbL3bmG/jX7DxFg9gRuQvq
dZxqhvMsszs0nWTzXhqN1W5oGQjTooOq1+6q5OSQsn0Ko4TpVjsNCBpJ/hzhjig6SxP31uwXmVzH
C13zASD4gG+NuPrEQjjfiMGi8wbjQd6fsLxye3MdH2q8nqaBQnOblA0kY09/VIP/KmEFnydp/Blg
nnzkViE/00xTYmGGHQ3PesqKmTFPZk1ri18ZNltuxf1J++FIMEepzvaPUs39TOCzn+ZbwzCSl26C
nYXI6diE9aMz6WTlRqL3DhBZPOY55UbEJcLUK3cs/euPcqzOBSnuLewmFebLrIffpDVnM2ftuS6f
7epfXQ7AJkN7Yt35WD20Yuj2eHzS3X/ve5v94f+re1vWqfjQ/3cv+FP00aTRx7IL/3OtOTj+/rd/
YW/7tz/59zSFQmjCK3nJ2aEWhQP46z3v2z+wGThkitnD/uNbXrg/2KNShQOK+7emAV6qXfRv/yKs
H7zbBetXLCnL0tb5Z7a2/Ene4v8hS0GXgS04a/DXOa60F1Tg6+MxLsKWz+VfeY4mYWBM8z63nBn4
pjdhMSxFo9y2vVKXJvPm1/bKYraNjLtt1ab+sA6nhsRi20JBsxuphydtEsVH7dLhb82M/NZfoE9r
wT9LwCUufaVeJ+B5alUtoGjUl8WZf1COzAiMFFJL8hxwfT3eyIU2ra7gqXuFUNUVSM2ucCqJTUDV
ZGFWnaLjdjhfUVbKgMFaxyviCtTPOLe8oq8922ci1EniH0xVuMMhxQj3OOAROVAw7lGsPhZvUNlY
YvrA6n/zyVn0g7ZBRk7T7p89KE9mJEYAi6lpQ99rF+Z2bSA6hJOjTnU3hKpjLUmh4LgRUB73kNzG
LzOt2w9I6fgu5qLIpi2qnXwTetVM6XcakJZl7gs5rlM9AXsTWGWlBchnHhxKrott0DjQ5xDCclyj
7TR+ldj+FSGBKb4pgzL5yFQLidVBMj8ZNWhyZZhRztPBb6Mt7b9E5fwM4hIhl9dIZlhNC0jEf3ij
hKB/z0SqHYYJXfkH6tP+jhzPQFDN+o9en3i6HTWSYaaqij1xTVfGkwW3+NsyhH4wZmO4MGfOv+w8
onoKyWFIhiNj2r50g1KkRc8hNTtO3coHQ7hI4APaMm8ZTJvmJigHtDh2NqDp78wOtdksq3KNsdn6
9pOWR33AMRCCN2OxAfQze50d7Ho+RQq1vBmbVAEdtYomnuobFOqMMtqsiplsoDJhlT5s3Fylv5CZ
MogrZyKsQ9McTMhVReEoXhSMZ3V9X9bXH3bw9u0y4v4w244p6pCgXWLTALRQMag2mk5spcN3BlCW
AU7sD9Vq5iW67wDXdyU2rR07hPEVQ+B0a4YFRwI3bV9yxrH0OLuueZMgvq3IJXfzUzAR9WAQROm9
1VY7pxsHfOtK3ycs17ZZ6nKqrdg59VZGzoG/bB9PjE3Jj44nQtwjPytzQ9stlY+3Rh+WWGFH62Zw
hGBdESFStnHa4N7IXxoL6qD07Z/SxvNsSoFBlphTPSwAI78ZKmd21GidEo1x7WMc8RlqaIhNDMFx
roOGb1MXTz+rsOAf2/PxbSLvSFTmYc15jRiKnBq1tnJOLqtUBOGD5VrzxRaDv6FIeLy36R/eVwze
cATTwvztI9O/0H4lNknvWk/E9OcXYEjOCR5tHDudgO+v7LEqXrKoEK8OgrcXnBv9d48/7MWjWVhq
vz84lJ7dJyZh43WbdvJhEnn9Tmi8vaDFtj60CtxyXQtPPYm450gTZbG55rWPrFfxzEE+kNjJVtvT
jO5Dig89L76Eymidn0LU4b0z4IZu9JB/jmHi3fuNLX8lEeEnln8BCSrZDo9cyoIDpyjrGAMv/vba
QE30yZusPDsDLwMWHMYwykyqbxHX1os9+xqjmDd/R57W1cbXZvYTy5R3mfLxwStjNDlj1FFhQuhD
83lSWkv9nm+92zY/RfveGQt3o0hS3kGS9aeJR8djMMbhnzxK+WmWwzi9poyHcSPz6D7YMiVhnEBQ
fqdNubjQlY1Cu02FfIaDtSBO+5gkKjqDxyYPiw/ZODwDhr5ALYfs+8GkRk8QvoVlbSwiSC7RLQsE
Mp53wDWUlZmM7ZyYynnhmxiDJD8DTTPVXMyE2a2w/jen2XQ5MTVZA0FXWP3MedBfjBJT1D/4ls0U
pkyXObB0HfDtTrSPzK9JqpRjxGE87tunBCvAVko6NjFiyLMtM5oXMsfBSFGkp8Kcg1+Gbp/MKh9v
krDXLCu5010Ua6OcXgsS8kPLJWcVcAo7pmMjoCMM9pyWNdk3kinPbVan7GAo24noOEfyovD6CvJB
BiP1cmnW0LIN9QHlXfeEajJ7jobQ/SW4E9NDF3pni9sipZaJPsWOkjeZGIjipH1O5KOn3hGAQ93n
7IUPQzm6JxKCRrOEr9ivZ6aOjW3XMjXc+XEdu2stVc2WbhI/JXfrC+bc8Cy6QZ4mFeQfIzXvH2gp
+n3N3BppiW03vy2cL7uxjMXzYCF0np2COsI68qm+aqqvMAj1h6oSVrFEZjp/nRopm7B50M1BTjHh
67hbqiCs4hvfPEaz5TRy6A36vIbaNqaNcFsXnTC3yUSn9o7kEV9RkkdM1QjU73DgTccoQsVseA5y
kMb082qH+YH3sV+p+k5FPF7wd7o56WQ96A+Qo4DwPh2Xj1E39d+so/L+3sKDlfJzx9iOt6tX3AZk
F3YF0q5Lk0/4YhQk7KUovRzNWanaFXW+nrNmyBXT1NfTRSAHmd4R/Al3XpSXp8htqaR0aIX97eU6
aFdURGq6xWw7Pit30monKG1nrpfFL7zT0xidXoX5BxvD8KtwDfecZX61ZzCifiqWkNR4NFzGfZgk
8CRu1jRWBrN5jIe2eLaL2m6ZBrfJea4Nc5HATfYrNWicBEa3OcYtCS/moUV5glpimVeSSx8JaXKf
iVKyf6axRjHH1Lac9cNcsEW2FA9dEoZd9+qquvxGdz2/mpoUUtYhq2xnP6N61i8eVVA7N15jixRn
ZStfO9HQJMpYMFQrTCVucEyaCi9WFMV3WVCnNChY8pYDXe3sA0w2vNZblWGk6P13NUNBL6Cc6QAo
sE/lIGMQH0ODyUahQZ6H3jo9RjLPeB/ZVevQvNp6PxNa94ot4ZR4H1Hm+F6Epn4RPDorHKFNdVaR
pbYR+jsA/lmMB0Hz7knS2XCcJgphRFdL+H6DVNoynjGSBEV7rAfsPRPXeMh5yfLcS9/9qWGsEPW2
f0DJ7hMX7COxqS1z+BO4rdr2I25uTkpbs4rtlWW3H0Vc+Qet+fHvu9Q9Wx2s0hTQDkpHquUN1SuN
Lc1+cABnVt7g88RKBmSJdAcw5CqzMHuK+TF5RSk8rmK6Rw4AywwPLNuKH8WshvHUG67Cb91XXbgt
bOG8qbabPiuP7TWFnrFBbRyhnYbXD/ndw9xWARx5xHmH9nCvRTpPIGxEstTy2K6yd3g+zRdRETil
GKL29kECqoVmP8U2VPCbqsop2JREbx/Izj5nZug9hLETPMdm4pGAJkd07B0qJKykpFq9MkvjT+Xm
5nMHRXRI8GlukjJsdqSQnHUWD/YzK+6AL/luxnZf5a172+amyepWO1uKj+zVqExQIHYpR3pyC6zp
Y/jQ+l21MaR15+WxdUc+N1jVjakvbEHimxTH3S5FhRAtKkWaT3QgInTrtfbYgJeY13KV3Fnj2NyE
da7TrdFGLmuGNOxuG+ZhBFK47ry4gwt7PneUFWwEGU95rjknvvQhhOXGHp3wpeZZxxtsch8rTwuq
OXrOiDurhmFcBQadrCt2Vvx0NowoNKGRh9Dr2IK74TTZPMTGmYn+UL+10pI/6TmfbmSGA5U10SAJ
CZTuhYcdsb68NqN3foHNnc3JjYO0QdKD35niiUVDeMtimzgP/04BNlj5J8En/g1XhkUz0iGFy2ns
GkcWMVTWkjxSlHZ5XUs1Vt6Jnd3abXQgvmcXPDUnBE5966KtDq+xqvkaseo4s66da/CKvBwhrGbJ
Y+EZap+Ka0irW/Ja1ZLcYh3Uv5MkYCtLTKK47UFcasL9HdVWS+hrIq5977cye8egwg0OicISEMMi
Z6/6us7cjRstITJ1DZRZwwg7QYibIcxYWYTOyiV/hktNMRhdQmmDFyg0zR4/qiyd0TzSGuwY6aYq
ln0bga5XwrROuO8kiK2aNKGwRITxz9JYonD5NRbnJKXz3TZOWO6ra3AuMDuPgIkH67HJiARG9901
aJddQ3d+ZNGvdo3iCX965HdGr4gFw8J0Ee3uDU//cxcNh6bPizPzROeVx5L7KEteB2h11blYooB4
3dqU09T8qufQM1YqikdSJkt+sLlGCXkkESv8/yOU67Tj/1DHSHsiMYv/ej3yP9r2I//Hyclff+Cv
oYmSP0zLFgxMbEfCry+JjH8fmqgfnqv4u6XDz6S4/pd/X44I74eSnJNJcPCHF0PE35cjwvlhCXLv
vrS4eNmEr/6Zsclfion/NTbxnWtOBIhB8Shx+FgLDP8PY5OS07zJ1cA+BNHMO8OEora2vRXYyd4s
++uRYc4e/DiIIvbMts+6LWQKuAq6hLaQqPMGnneM/pvNXHbWroCNc1d27vYlHuGeHTSiCOoHVTNs
hWU5fyarI6gB9BefHJdMFdpQn74PNcRHWYTbxC3aBycuxEW1FnY/FP4oDo3iZhQAtzSk04wgnCff
qVqSQO60N7EFbEqqjG6TFr2UX7FA0cmWAdEJgnHtVX2/mRs9rymIAnlctDhz45c7D40x24qezjcX
uK2s1W3ARf1uMNpwz1bmF5hifJ4ECBwooVzPJi6O0rV/o/PhoDu0X3QRsWyuYh8m052hj4PpSBtO
d5mV0qc0NkHhqIFdZ5NFxbHVfXijwfDGM5td0ldUfys+ph/LP8HgWXddPf6eezYr5jhx8EuMO1kz
6EjmT2yQRyO0N10evI4Ep3E03jgI1Th9nrguLqAhTV1ebXw5pa93wWj/zjj+tNw+V6mcDuTWyrXQ
9nOoomG1GCi2bkrhTR6WJSfb5DWL3HHbed6bTLjoc1la+d5Gt0QHYpYYWxXCbPi9MZwt3TYrUVun
HG6c2i2HgwaOUEKeD2lTocOfxzYnXwl6qivnc9IGrSONNC8zt1QKh3n2Z43T/8pbQUscRcvhlwgk
7Rk4/B9SRiB7ejGcr6bpjX3W1/59nnNBsUc5fTeqY0HkxHa9Kql6OtNzo2+aKL03rSr+dsgPLFIL
Dk2hgW6kLXl3xln3u0p7PHY+FSK1OqUIBdZWaOFpmo3GvkcZxxU48x/S0mNnJOdHPyovpAX2Rqi9
hzmP9ZFsV3yO645Fn5kG4oG+vnoTu9NX5iYjQ+7sF0Hk4bZdSCuRzSYb7jZ99Lyeqkb6cEgu+Ohj
JW1CSaWx2tvQtSwRzl3q3VuG4z520FvWDX3oCUFEKkXqTcFkhNeRk+b9rssx0K2NTIdUcqiMcvGE
w57eZJXD710CXUbHUR/nGdQdmbl9GieST9hIxGPj+4rwMK8WnN+xXYD5Sk6w636o4c0rjLDhtuWu
FlLyEsVL+LYMvA3jQVqqw8Qi4NAbRTSuirDBxY6aJO8OPcf6bh0JdB6rJHXi6pWuqQZc3ij8DsAs
92HC8LX4a0YoBdKjiMEE9ZbUYZyDOsr0zh9d4qwhBlT/KQfRK4+pmxnld5XGs+Lj4ivfmW2UKXLB
RgLyFwSFs2Jk6IfbSYWAR+FguuU+suVEEbuLaHMLy8L+L8gNv/1d4qbJ1yXbaloSwH3Y2jJx+4Un
ZHotNL8xCsvDQxM2/gQQZcU1IyAu62gVdEavzmBgQUVwRqzW5fgMfplmfLG81GCl4myB+cKfaWLy
G9L5/CrECOZJauZPLXWafzTHR4cSDQ2+mWLITjniJjkn094p/G3eMYm8i9KC7z5m0mgfDiMFaixy
WIOa0p9JfgI3J/u8j2hzlmDc2VfdGH28U15KuYrIfe6BzmAh5lIe/dGkVB5VMZvMLCUfsK/STWdR
9/NaVHhOjlMwNizdKAPIoMKlIcSvVMbRbUE/64cuKAZfZdFY3/ZQv1iD/Tk55iPWL3/BJyLuRkzI
npPOe4668c1nHLZpi5qYrqtrfO9RdrETi8deHNJbWhTdE0vMcjcMrf8eipqxrd058y/LnH9r2VOv
ZfbFS2A0GyYyG6NNFiHN0J0lf2+zkp1puRzhmNbmN10zAB5yhOMryvhzqaTS0DoZG6X7qYGYMlgx
9/tQV52AvSY7tBUF+Y8zT+2XoXNGbyejuntKci+zH4OsHoIdERl/g85Wnlux5M8nrNbjo5tRinVA
3sFMzKQ09CnzrOg3tROWu6I2u402PtPr54Yg//ALLV3H/cqCY8L/xZUYpUQEk5mi+tDj54jw118R
I0C444dS0ZpXzTuLMvCFdB4eum6K7x0Dx/5gj+Otb/eXKe25u8C5XtBX9XglsJUZs+lheM3G9xZ5
/YVhOHs8zCrquZ2z6cLdL88eBlWWnwVr8EOfzvoYsFUnN9T7+YdEMnLBCQFEKzp1P3Y58BFlUv5n
iHXtNYsp8KM41aUftrH7gJL2zva/fTDrm2rq9XcQLbvKWJVe9twa/5O9M9mNHEuz9KvUqnc3QV5e
TmigFzZPMkmm2TeE3CXnTF7Ow9P3Zx6Z0eERBa+ORS2qUEAiMwOZkklmInn//5zznQqkmivodZSW
E0Vr4BlJ9j32HITjRETGOe1751KWpvOSDyLZxn0s3Y1PEj87mXQ0cleYorUo/PqxDCsdsuwcik8J
Y+Z7Ty/g61BJytcqFfkrx84pgwMwynomHoEhihIAf5iB47ihtOLH4F7lp0KPXkqzTKkcKhhETwDZ
iLxXtwwtb5k0/rhFgCjlAR+V+ihF3d+zRfQeUYKyE86A2IQPHLjgYEz7y9zxBIkn7qoLN5/CV6cX
ND6MeFMX2ZSNN9fm45UnEYED9CCoULZJsZVs92yq2fKECp4mHjNcpFDua7yQdZ2TyxeTkgvhz83T
GJniDI0T9u4YNmytnDCbqRASLA6ugPICOaavMjbYBvXOUKynbB1loAtY4UNUmi2rse/rpM9e84aQ
06ZkjrrWefUBA2XgUzXJbtOa4YZ3bbAXsSSmAfKM518V0uNwD09YTLe2Axr7XsCLIILHfNBvBFhm
kgqWy5SlI351gCFZiEwuUtaPsQcrchvWvh2eYqbWadkXQ39v0oQSHpSe0QLgD830OPhCexg+y4uP
zIuJNxFTdwlYA+rngDbIkQpFGkcw7Emf4s4i5ZL3aXCgCtDpb1Li2NuhrfzHYMyd+4STC+zOgPu+
M1bxTqjZ2iFGjistY7njeZbf4s6kQAhaDvuOKMKNCeiY3Ekzn5pAeS2BDUscY6RyzPM0aiDSNX39
bfScqligPXN8sIxzMw00ANTBBfZGuqzx/q4Z7vCnZLp/9cyuOubkap6SpgL61Qx05BnaCR+VHVIl
zOmm4BMuqXqZvEqf4GR66dZSKvF3gO89Plbd2gQiKGpp7yR9iQyrrnWTich6UmQzq20WC2bSkpXD
SPue4zBrMsLuhRdYT2QbWU6XWGrDNfus7mEkhYqDefLgFMo5/OAxx80ywIA0koaMrHCHMBCsTeaP
d23mPiAYI7ubVXlXuea4bUhWEYHWZEWK2T5Rp+itis4+VrMNPlm2j6CdUhPAQoCZyJ7feWAkD6Er
sw/d6X5bpZVZbQZLpMhYdYCYqtzqIwxhIZQle7mQ/e8u63MeUHqMXMoK4hognYFHZ1NZ7pVEavEg
2A4jx3aCIJRGs5WCVDyMdHymCjRA1U7lN91M39pKpJArTFy0y9KQdrXpLMLbKxCpsIb+MJz9O2n1
q93rVxPPn4Rii84to4SGt1dlhtfGshtoeJlIHv/+y3iKBJ4CK+WydP95sOrnvChZCg57d6xBjVDD
mWDVqHA7/fp1fg7fXwe46+drIr0bTIT848+vY/pCtpRmdHvMVt17cn3CO+3MRBBOXoY7XKTxZ9ZD
7FyoNpfef/Dq8vpu/fxumqaLYkNU2mW6/fOvCaQhFbrGM6dYQG9oD2kfpJc7G6yvJIqHJrv3qh/J
QDW9pVMJbJPTBH75x5nThfpxzDDDVXY9eBQO5/55vBtdQDVIJsA9DdwqLGFn5OGFGOLstsHcz6Ld
xXak0c7hlPinX7+ff/2FmIQNl5HdgMrj2Nf3+w8D8UwnGpi6Tl8pLA0W4zQOyQSxzzVwdvWkObiN
e9b+776oZTiGIlTCyRTu5J/+JmsasFWf+g0vGs4ny7U4S7cQbMND7E4V1szftxP/zgXwc779+hfD
i6Fz8wvynZSSP/+GGIskya683Q8z+o1dy48xFZvcGNv/4Lf665WG55NjiGe7LDks+/q//+GtRNA0
QRjFxT7uctnekhAPeHAWpt3tfv0bmX/90DCeKKZIjonSsN0/fWhhityC8Trbk5lxjlHHkQKGXRSe
oGRY3SqVlmy2yAPMeToamtt0AH6FhEchw/XIh2mK0582SWTRzhLMu/HH+bD+cVb89Y/6l/fENDG9
GD6LHd4W2/rzT8o6EQqAF+/TKDLcvfa69m4sR4alv/06Fpf9bxxTG9bCz++9U0VNFYZdtC+I6tJw
RvcBEMcgyw4/XudqUw4/y3/+Nf3GT/hWatwGLPf/9I//57HM+dcvSRf/7XgYEsLKL1kYd12RvH/9
aS3425f80zTt/ANQi7IwvDmeCQyCP+nf9oKuhWmaTwwrtXKVY1w/un/uBS3QtNxu4dMQu7adKx7j
X24q/x+2goPCF9pgXxxD/p21oO+ylfzDbd1VuKgcm6vCx4rNv9Sf/0zDkFmxkMW26/pmV6NvokUh
Al5hWXdWJprjUNFslwlVspGmkxUyTrivRy85YmUmnM9d4dkrJvvDr1FdeOyJjQuLdyUpyCNAUERI
vYgZgBmDg6LJZBGO87vTqTvsTigh6NzOmB+J3VwXZRis3ZJSbAo6EM04OIBLe5al+ggUBH8U2EPa
0ApCCzUPHZiQ46bSHdkO6cVgE13zKbNj4XEvj7IDVMUC0WOab0Hi5N/oRDGo5XWcr1MMwYDXG25x
JIqNVKRRkfYRaqTR28taQO5XeF1XtR+kX1B98dPOvCq1SCEiQpzpj96w+j2WmvBF5Q0NxUVJK6yD
wacq8nsdp+V7OkU0KJpTDhvJG29pAvW2FFFT7UEhtTku0nLs7qJsHHd0KBbHMhw6ml4b0ttOIaHJ
t4nknEgFaT0Sd0is8NxECg5v0Jdbkbt3uNj6p9Y3ws8qi+vX2BkUfaH4tkrD8+9insXLsS71OmdS
fOiTXO59OT0nbl/R+R2bD1Za2fuO9/rIujEm/OgVzwOMYeibaCyc5LiJhByc8Se/4yaNz1HkwRis
YjbMC4gQ/YPyk/zs6ugzUIEHVzyltKdzqleHHCkUyUl/o3zt+5RM3rxy/fElkppeW/vQdaDuY22a
970HiyL2EiRDd/BflTPqkzlpdbTQ8/ZdN2cfwEQpfsAYgpJFj8x5Igp2LpCvIOMq3/6Gw7Taai/M
980IiCmN6uGQGyo4D1lR7Vxwfxw2PXNvFkLeVJP7GdRHU75aCa98TSY8MHiWh8wmiAq3xaV5gvXK
eg6nkClF6GJe8CHkd6FTplgEZp4tYp6eJMrhbZFh8Q9VWb3g7Z3OGdaHVWj0xmmSOGJQDOsl0dhh
hT0Kry8cGv8mhxpfUnyqm50RMd11kNUx4Tvfu0F55xZZcF3hSN44LImXUSnHfcvFfAaO9AS+v1rB
tGg3cewCSJ9q99EHa0dgl+CjEwkWXA0x0aXtCJKuWPXXSY1EWWF82My0KCzHqSuXYqL12+lKgz1i
DNwvnqqb3CFnJavO3WaJgXo6u7fFWG9zC4eN6836JvACtbITOqFbZ4GuqrekxtBgaZIhYzwh4C0H
WX61o2kL5y4+hvZIrroz0ntQmAwNoqm3Kew/xbS+ccwroTSIi6MnDe8tRU3krGAUjJ5xNVycQr8p
J/9azOHanpsTrv1vSQ8+Yg5Sb6dFrTYwdgNuPtfvmNeexZw5kC+YL0OjLp6JUyzP6nZVVcH0QCUL
B/8hxfEZMy6Ocf5h2WRaY2LEkAbpqOsccSkd3b1EjCwLg2zEtk4dA4AoEhtVHOYRu2l7KBl21l2r
3c+W8t+NUzrWDWRILibDhc3NeePBciXv6qgkNw9/XDZ9XwFYKOcNf8cUophoshxw9fgS0vqxt9wk
wkPXNBtpuOVhdEW8dNOeuvkymYCs2PjhzaYBpjWH8zbgrELkbrahoODgwCQEeSSYOGTXfNpTatMr
jWSLZShqt6lf0RceENpi1UMBfIctl3y09VUn5jVVkpYTuzfDXObQUQ4GxeAvyNYzCIdUn1p/6A9G
NVLxmQ3eLsr94usAZuU4RJLGMOgxFy5yEiawxoMFRnNA/iOiwxM2CVdSpUazMayYDmUbT/65Cbnx
UQfnWZukh3E5Bk74MfqEv4aKSucp3gqc6QveCNZzpbvigWG/9oW475rhPMX85kGyZAtXXAmgNsKD
5ySvdQgzMwdiswSb0G7KMvFWQZ3ha0ukbcNTjDAp+B3XfwsnsInNeEtBDkVGbrZOKa0BFOcvRcEZ
NfHdU5dQAI2hI1ym9CEkc8nu1fceirkfj6CByHTahWof6F+MrzjejxT83m4o8RIHQX9D2BlvqaNW
FESMm9mjRyVuDLVpy2HesnnTW8vmDm5TILQcA6tad/ncf8J6vY/6qyEFhxoBZAvfDvn9VxAjIBfD
IE/sXe8E9DHgdljiO101GW6Q1miusPFg+hJnvn0xnKw/8t0pKOhRu8M3SleXYxY/MsadZR6uS9EM
MHfDfA3zEMpBRrovGpsILIuRHEYiOXs3cSrA2MjP2FCttysPaxVXHuYZO94VbaAfwkzU26nqAntp
9v2A6hIV+nWcyWVXztTeslTTxxIH0CfAbsGqnqbXqpgwEaR5sWlsSJ/u3PiXxqFLMh+7NTvQ1072
5yDJj7TCzGczD2/KGodMyJWyDNjC0ohEFR+uzoSbKnmQAxZYaiat5gQJfZmPkgRJ1JrIZ9aWyspt
bV7L9yqqXOh3zPFIz+2+zofFOHq0A0MpxRGQfJrNhOrgFDBnAanK+sEKB/ah3iddy8N3BrDgTDOR
hw/Elkebzsdi2wOlcZAdh/Z95jH0mcy4TvXI9sVMo2tIny0Wj7eknx9hIrWPKWOIWPlTmkvSsXF1
T2SjXU0aPL+Y2DPbGCdtIt6T8cytJ1nRocb+pioaWvSgTxgSSCaWKW/VDTVVnzQ/PwiSVvucbsic
RNJEFaMVNY8avy42O+/WI3KLX9cTz1OMyUSXHFFCQ39mehwfNZvxJXxLZ0NlI09vy8r9e4oInke3
vysLDEJFEZ3buN7AtMEPanWvbICe6jlvFghJ1r1pX9PrfjFteOz5N0UAtgkQUOa+JvjWFiXHitBO
v7EG21pliGsoPrbUyQ4txp4BjCSak8rDnCurzNch7psMZm2ZYMgzYS2Bn7mbqDxPjegbD7Tnoe4/
Glttq3GwzzoMsWhCbkOm0fztTrPJc5dTGMUytFy7q8SZpxusXZjlCEWtLNp0z4EdbTKsrwDCRirJ
/Uh1FMfR3IxGN5gL5AhkY9uwHrn9eqdpxpa3aHtBLNzyC7yWnDpVdDbKND4KqB+ruB+sXTU3xj2n
uOmhTLJ5o/rBvjMhUNl58qEQrvmjVt2x44Mmc9zd0NiGvYRSn0Vjo5KRBgNyoS2feiH6sFDmx50l
emNZ1uI9mRy9m6osOw2UhHODqFC5XLYdWNHHVTlH9qkZAnLhQHUOkNflTpdDeCCGe8zFWL11yeg+
kw/wVrIHjE9mWwzEiFvvUhPCuvUD09wOSfl+ZZ+wQan1euDpA6LN2YOsn5ZsP18rqhSqvrRXsWwV
PKtq6+DBOgSGKV7sOPdeC5b+67iKxFOh6lXuXMsn7AlwPnUt4nMUAVDy2HTusS6FyxEmHihc4MQH
p0qzXVuBr+96Z2cNrcObmocn5Hd953o8pEIWuzi1uxcdtdXJjr36raTtbJXa1ZW87FSCGw88U7LJ
DRJLVfO3Q71qNOXBEkSA2BB3Bl1gK3ur+y54Qoao7g0UEHpaq+Bi1do6042t95zBhgvdocULimCz
tKgIWgjbni5S5Ei5eEs/ytx0txUldN99IKTbEWGbBj1O0KQn1Im93DWsLor8fcrdNNmyQjAuRPq8
jTEY9Vk4VfzcGBkPC6A+K9kF4ZnydmMbWrlxNt2JK7oPrQV22WYfzLmJP6AIvxRqNheBdOVqEEP+
oarOPwtP28+TaZLQbwcHlF3XvJFqCC8pkOiHchjlYfC8ioedGfe86YBr4VPEtAbR4dw018dqEd03
idrMtR1xVGua5y4K1E4040BDNhxuZ6iKs2ra5pizY1nPQfA5kFKg6ldTNV8Q2WDTS4ohnR3vzRxr
IO4ERy4Dq7z12JrVMWwSh5OnQzKwte0vDKt0euah/6nbAHsZo98+mrzy1gnj+NybUbyzWUouW1WQ
+LZ8g+eF8jfAbqDNyvguFUMBrJszuRf7dAkKE0lBYr6Tc32bG5FctCPGw95t84M30/m80NLft6RP
TjY9dd/5Rat14Gv3mLoRgjbiCuGXbPpuB/O3Ngc/iPObrilCb/QfjKzCfTNGYWXhl2dsxYMoPPdp
ypnR9G8kKcSV49k9MpYdv8TXtCTUhrcSZysx9MS90R3wE3vG9wuVflnKBkmS8T5atMVnNeitTaD4
WLb+RCiGBRUMl+Q5iqQgbITstIq42qC1AbBmeVOsuq42T4rDF0kAWTyFHN0Dprj+OcRdSJOQ8ZBM
YbBRwcYbgq2JQnwIcgItA9y4cOC2MnEYN4yNCM3pyrSpNm1IgIKYINy25mto4oFNxjw5A3yYV/ZU
N6uqrTB+sNHe1rNpgcc2yE3YqCZmFuSLtk6c2y6L3sBXnQkAVWuq5Y3rqSDGVy3EutdCrpnwgp2X
5ADv0QPue00tKEUu1a5v/HkN0JDePJt4jNmT+qn63Lvt5kltG/osltSt3/SuRZiRcyirz7Ezh0XG
en0FQ05KBP2gCRazL1+k5Nh0LU+AwEKcE6l+WWoa7jny7qLylHoeGe+wH045N0EwvmLsHxoazd5y
hH6HbgQz+IakQayG7Rh9lkaERXZJbuY+r01xGZWdt/m+Vr1HbR8rQUyVRXIu87Q4J21ifuHZV5+1
yBhwqbVb0vILJG+OTVBApvBfO2sOnqXZqXUFzIRfJ56YTPNinPa06ZlbBzTN1tWhc6mLMT1MrdPt
7am0L/hCAeD1sv7m1AmEbyfq4rcSlv63MUdHbLTmYkR13fHW+FgqzJKNZ+/tiPlOi56IzzIuG7qq
Za1emaKH5x5zyENbDeqcupSRwqGg9BrW4K3FZ3ovc8kPM3vtcyiHT50lcs0MFB8iozdvJ5P/hquJ
vgLrKjw69rXAoRDmLc9ZUEAsrBk20BUwQZ9EYqSwWBT2dY4UC3Ab4lplQy5cxnQxog5y2Rradx+g
ewlwK3LgqF3mN+T21jSfUAcU2tyx+hD6ydSnB7+2qLZry0dSre+1Hm7mCTgmMMCPNFVQdyqU1L4G
4w8uGybI+NIw9nhcw65lTjedP30pq0Ic4iSK7v9TNp7/ldi+ln3F6f6uIfyF67t7r6c/U31/+5rf
CRA2oonh4llUjvpDzxYECEZIOrhMXgKz43XN+a9lpvEPzwfugN7hIkNYVzjEv7aZ7j/AA6NQmKw0
fwRK/wTw/RXQ1/7LMpOVu2+ZBE0txZYLaefnXXhqSixLKcXhSS+8W8Qf+C35XOQAmJLkNcT9/wYr
LNsXTkbYw68C4C+gQ9ZkHzHi9jxTEl23Dz5wg2LVU//7XHae9SqHwj3Ps6GeYjtooMAb1n7KreQr
tnmLEu9w3BMqD3cOyEVmZJwc07IyW/WRjrOk/LTq2rPDPfQRNx9GJPpvCkqJtbypPSd7lLCDV55v
yEMRWeZdU1npqsPDuGrJL9ACxPDi6CB5xnPVHGoE5GdDR8kNajK0bZoKPeH3yyKv/DW+DI8WCaZF
x41CiEKeXFr0yuzLzIMFF5JxWhROGdKVbRXbuInLlRpTjmBVBzMDJPxD3NbuoqdS99yhX62o4lt5
Eai8KXaMk1JK31hRJA5jxoRr51F/VrJXm95N04ce0/tN2YbzOnGd4lxJ1aAcQ7Fxm6q/ZEWEoYJ9
5UJlCMZpZ58D4Gl4H0cE6LHz38xaWWjuRX9AmabuUVbpbZZZ9c5OZ2NJgwRbgq6d3/1cgZGNE70p
Ue9WMqphZeIn51nb2odaGfKJaOp39EkKaIq2rthP5Onwxq4jfIYhdq2xCJpHn5XKpzkryDeKHVcP
1spE9J8MSuT3TKh5s4mtyHjL4VRzVMAsoBfe7I5fkomb7CYNVHxXeH1wgn02Hn2sSmtuXpjN1Dx7
8YqmM3+FiWkC3i8s4bEQzSoWMh20X6/v8u/mNNJC2psS40Fp2ru6KYuTlStB0ZtdPWQTn4uqcoP1
BQ3WnKrv5wjLCOhk6yalWXqVi6J9GRMHc5/ndy+w0uLnElMIgDlxAe6qj0k/yO+CttEFkWlOBElX
dSX69DTeS5l8sND9YttucKPrGcjx6AZHmVk2kyeP5wWgXNO8uoY6yqJcbd/0fZdcotKjaWBupgNj
r3ubax/qV4oDBjLJYnDD/tRXsnivoYLsJqmGXQgL9VRPOqWyDbRaOAY7lhI+FIPZYmLwOSMyLE6b
yXFALIaR/RZZ5CbW6dyLV5cnynOos3RfpMPwJUdre6eMg1RWlFursvG842BVzSr2h1Xq2PfxaFYX
Cmvypd9l/XtiVdUzG/doW5ed9aZ7DS6uu7JVJytwTRyyWI9UTkZsxf9Vn8PG9h2iWBSbgHmmf9et
9a09xg3rdK1foISxT40487MsxbO4NEBZbBJy10FPlA9yhzIvochBT6XcHW4BoI+7Fs8hP6+BExbH
qDk8O3nsHrqynFiKiPImcFsWtyz7b+PZa2500ZnrltTNoeldzuP0KZOydTTBqDQKqZcOMgrmcRKa
nx67l8+OZ/WNBKNcr4a8onXFlpS490WhsZc2TT2S1DOGp7iOimprOp6RcfbqUpcNhemvCKxhNMUB
jlXEwn183UfbN7Jwu3WZWcamw8pZ4LyjfWGlsTZ6nH9ICraW28eb2RWsrD2zonGcW/GbqyRld8Ho
TAXz29UMBexV0FiYDRTA1TEn6kNN/+YJKHj5ypjNWoB++O5+FH3xAfeC3HgAaPGLqu3RXhS6id5G
MsFqwQ0RUgW4RJeDSCbhjkws5IZFJCzvycREcsbAMrxWkEqKQ+yPcELxEU57GsHsYtvCakam8mPx
NSxHWZIR1+4rTOncW/uZV98ZuvNurHK63rSHYOLGOBYwg0QL8Zo11dRtWVRDFKQzRbw50UjYB/FG
AFQ1Gwx+ZAFyYxfHUrPvN0SF8pBU0XocW4seRmnSP90IOhK38NhTItHSLh9IrJIPG7yZJQFOP1jR
RH/oaeocJzrG+LnaBx0Z4uiyiSGFpGlYcruIjnbWg9ODEaa0eGNO695iwMn2Ev8yFb4DIkK8Tpsp
WqadYLowSOiQ2s9Ae4ao96zMstQ8TEnmsOloibM2lIl8r4VTvCBLNNvSa6ZsiUjIji8dq+wSp27w
0g1+c5P56jv0gfrdjv2LGkeaGmdCe+5izEqWS0buH0jqjV8malEwtTPvf1GdAfYmZPjaG07Irjh2
M2cbmr17YZM/e3chqM+CpE9ODD9162HjJz6/AMEYVtiZzy7CcSeHih5uvk/k+cYrzTh8hliNMakD
qrPS5lXwGoDffZoeTxXLh1CwxBhjrKNosG8E+3R3gVMAN3tLqnqPysh1X3MhvGq8tJCwnZSWMFeK
RQ64jfa/SGF4Zx7ut7CIzacOqt1NmttMbSkr03hd4GN9pf6Rn9nFWnFwVKMoNKEbmqLHyG8OxHeq
F5bUudrHbgK/OyDWaYO1hWBP6hQkdkrn0hvpUpPYpNHwA9p9mH1Uouc4PVasQwvRc8W0gZm90ATX
HbmHmu+G2U4vIDu9fVZc27x+oAUgLsJJGvjWyKoIipQYJfM9+GgKOqPUH7YkS8RblfGEkpNnPOUs
dD9N+sq36C/+cwgv/omzenavLJyL7MxosY9aK7+xmIrrRYkD7ZObbnubBMrE1ZdE7XPfqwnSPEVg
X0RaamRF9g5co9p6sGPSnwvuiuJrgeNrXmB3rQ2CeYVQYKA8jgp+12bvcaRnvRV9T/kRvnEYlElc
1tUW85/xyoK0eygLo/hklPcoBhwCgl71NLgXwvARc8cw8U72yUx6NC3TO0KbuLPbwJEk1kJ7OAZ0
GF8BGtH90EYxcEDmZlLyMVHDOfvKZ0X6cmYx/Dw0rJDLnnWCUuZ8SesI9MF1VckKvjK5QFJdlASG
rwF1WQnjWScpvAVs3i6C6exQ4QxbNtyxQPW7kxvKelqnnUMcLIjs9tbAUsSfpyvBf8k0Cl4DZ8z2
kGVpVY0z3lUiDPq5ozTvvqWwCq9/zOee1ARjsMPNNzNtCDG96qq5sL/Sl8ELfH5ngz4ch/AGV3wY
58AQJufECGlVUKo09wjQ0y5Gys7cmKXZaWTzNF6zt2ZaxAJDsj6pk1s4bgH2fK+Q77Ppls/gKpBY
Tacxzk498o74WVphqmHbs9BKxzsmXu8d7dv6JkEywGTyk/bZN8eB9zeaopWr3PAbTods5wAZe46N
mCGUkDE3v1ae09lKbrLJpv1N2NkM6x2BgyetBt7qmGAr88SY3G2JtRca5+gdR9XCipql2yarOI6a
LwPGHbzheD+/gyvNP4FsWwc7EOHXuZXTRFXr7J/kaJ0jiL37ac54zP+njIP/7QwwpoGRCaPIr+bG
1WcWxX+0wPy/L/p9cLSoK8LLwjVvXf/zdxeMQ9Uy9kl6mXxpeYAifh8cpYdBxrU4dYHvYaL8ow3G
o9ZZ8lWGY6HtkCb9WzaYn51y/HL4u6GD4hmz8MCQ4ft5cIwLW+f8eBAd6ogKk2qo2kf2tcNr1Lf9
rTUOj52oxaWwgGjS6xJpHLgcYm1tUgVuD0n2lqd1/14TK94Hqd+tafC0l/PM9QpLHs0+i+370SGK
wLe/XoKDJg2dZ58JfpShaxw2jL5YV/jiV06Jr1f7Q/BYybDE5G02LxZ0+Xe0yHQlJHJ5E6Tp3XWN
lNLBe8xMi6I9yxmercTB1pDgmQwjv8Mu0JYPLJVeR0GJmDmAYCnSCuVbCKQmNP7FKGUMEkmTAZqq
B5CI0TpqgHTQLOVfNJZStpNt9aCuc0kTJmg4AwdZj0lrFwdphSDpDy/yOso0tM9/96m9P/VgQL56
Du4Ab2rar13hkS7pZA4ELXD6qxANk6O33HgFZU+YhKYC8wtMnmnpKLtbG5XnnwZuLNNSztTuXDWK
8Yv1YwBD9GQYqwgHv5UQJ4Gm0ZFLCsPEVQFS9sZu+4ReeDfFkiSyBtb3daazfsx3s18Civ2fW8L/
T1AW86X/S0/c4T3Pu3/7X++5/t//dnxvojyuf7o7/Pb1vxvk3GtoliHBVIpGJr7z7wY5lkN40vDJ
8h8/OGT/2inZ/zCv9xNuD7jkfsvU/nOnhHeOsIY0AZgp/K+O+lvBWeX8fG+gOk9hzrOVujrn/mBq
LWQXml1H5VgOX2ghII9DBrlqiaxq+7NWqVOu/YAcBK6LISIg1ah0zQBQHaexD/akOKrNFLn22bkW
sbG+dFdZ1I277KqFijZg/tHs7MsNhCHIUA171SG44jnKdtrn0rUQS6PpZfSzZuu2nGkb8v07DifV
rYmF6iUE1cmupYwAoQ0tqJYsPfqh7++hjdNGGBc5YPCoPuRxT+Wv6cfvhHOdo0t2J0ZY1wTnmpJ5
30uU3iKa55t+6tF0NRwZjhZW8sBitUWzwMp8mruQiZdZtv0MXY8Quy16+dgWory0UxVPx6rqSdHW
njxpOYpNQKEeiGv1oRI623kojB0poTaBowPIaxlIrbDDOQHxyrTn/KzksUp6mgibgnaIlMDPOLcg
FYMUFI0bTY9dyl7y2IRNYC39DOjMmh0NwAeTpdtNUatuEcmsW5SkLo524uqvihUCgV0tVh5xX9p3
KjCNjVF/0tqVvrj2pF/C2O9I0mj56oImcpeGHTFA5hYTQMZBdak52H0DixkcLHiachvRS2GQbYE0
A12DGUgmsXgU2PHGm1m5AV/XZf539umEzVj90SuEd+JIWah+F7gCcZcpyI4ih/QfGxn2hjnhu8Q6
IjPVWXW7ZmKnteAKhuN4iRMA2MOKmL+xwhFN10IYd/LiSNZHMCo8ZMbagjsVs8RbeH6lw6fGGiDd
5b1kKkesc81lZuQcZ1Xqhbe541p7P6+iOxs9YGlqiK983FffExEqCqKqLpruAqLXi6ZmW6P4lvKu
5kd8R2dmMWELVovFVNmkzgSVHIUYyk3A7k0uCl5lHykxUcNp4vrTDj9Tw/KMbYQZ+WBj+FOJ1gFR
sIvrNMG7b3Q4LTjA8W+jKVEPYztZRTDSnY1VmcUpiGnQaOOgfqzjZqY11ddmjJeK0RdRKL7EKgu/
s9Ek+RCg0k4yZtiyS5P+BMCYbbegE7EBHQbzttslnjA+AltM73OEj8DiZe1VKUzrOw8wj0s6tIn7
EuVokM8tzxBcPxBQFrpH40Z/KDxrlaXQTWHUybJcjb2tiC3lJA6lcD1FudFMkYKiyIiipIRGXLis
HVE6Fgz2gxW7KeYLLXLENeg60ADNCjS9HDvjc5iqci+IrGFgyeewXlVhQcZGGIF9MEkIgRDKfP+C
U/Qb9lQF4ba0v0GIz3Ykm9rLGNr6NKKdrmazUne8KT6Pek+Pzzz0w3dl4UDPnTrd64lSoFp2MEEy
h8ggyrl8QKvO+V3n6MrFGHo+J6rSWxqWZlodkQrjq8PFxxE51DM9E5EIH3yp2br22v+kUd2E9tkK
BgE3jr7GczJ8DYOk3zh4786zDgfQ/Y044MLK7wj8Mt3gVwM+oMxJfRH1ZI3wAK2cEqnZKE8EP+GS
5mX4hW+CehgZWLYIKNNH6n9hatZrukkcSlcwCXldbbPv9rJTO1kI0Cp0E/rDQJe4TVLRFRp0Mco9
9x6GTcj5ZooxcNljD8NKY5UHtn46W3nu9VNrXRmcksQdd5MDmSqqc0OvR+0FJ5sSbRdDsIEgVtVu
o6/7N+Pd1soHVUcZO/O7fynn7H4qSPmF40iCRHnFxhbX5sARa86jY/f+MdfZiFdUxd9oT1PsSuZp
bfSdsbUUIyH+r3htQ+tbAqZOIXgJe5XZ/5e9M2mOW0nX81+54T1OAIkhgYU3NU8ki4MoihuEKEqY
5yEB/Pr7ZKmv+/QJdzt6YYcd4V2rKR6RVYXMb3jf543V1m0ateFRR/egz/QSxDq7WwdAczQ53/Ko
w1SYsPDeu4puKYNSeW9w7t0V2EIegg4TbuyG48as2u7J5Zy/NmhwNiW2BNJmB+o3T8XOFTF29mJ1
RvzTkiVb7DnJxu3gi+C8FBNQ3MBMDkPpqn3pRMapDmJaNyXKap1P3dRsalWkd5GrATmWrZaPyAi6
Q5oVyVNhxCD2p/4xWKog33BaMrpnyiO+cW+zIW8zNESoMLzHxaTbxjaNoRpkGEv+vpvLB4dI49d0
quJfwK+jJzq+8EXUbCx4OlTwQS0K1xIiy71F6/1dFYX3dUjSljhb1owsYYqDQ5CTXEGRM3ZIhhwW
/6OSj8Vky0veLt4mtxd1GVvDYRERSxSqqRWeMHAx3jIjxWwjSXZRvNjH3hgj6n0gZjtppPmTKwEg
JMAybpqJ9qfpMka+F3JcvhvMGztGEwt0NsSV7prR1XSJkzQCQRoy8KOjvyx+MX4TlNQ7nJyMFLjF
9mNQVPqM94kJSEI8u2A0ylOT2fU9skeMUUvQiJ/2WJU0uRy/jPoqWAL+Qtbw4Hc/wsXHWruUYjeq
xjgt/jL8RBg27yqrG59JOkPuIB3CmW0Z+aeoibLvIgmQS5SBiB6ijCn1es5bUiFdvI3gi7QG23G4
DWo5nCFFW+exMNUG5vawr+2UDAun4qQz+J5jQid0qZpwuqZ+7O1haKWnzvMbXs2++RKqsl0XXCfr
qEQ2AAewe1Juu+xYZ8mXLg3GK4Zk+7AUM/c1JerZN7z72LQgiGl51nRTaqFVlJeAe/Xj/2wZ/38l
6v830xc7xz/f9n7p++/t93/KA+Z7f1fovvXHjVvDevV3IU4p/LcKXf7BspX/G7MKtTil83/V5xbr
YIkBCmckhTqr4r/vfP0/+AJLYmp3DRfmu/6NpS81yl8cLJY2RFpsVnmACQHTC+4/1+lxONetS320
j1K3yPdMmYHAgI4w9kEo3e8dqVaP1kyd1dSZuY6ypZzWZjZ7QK2QQO2UK9UlYBS+zkamyYRZNuu4
/sKiblOOKH6kzNxN7DX5Ufb1+EGKYQ/iMWHJkPYRou1gKWm/R99djsZc+Nnal4kJjcCyd2XfLKyB
ONryxukPaQnvcoXSMtZAj4mtszoYZd3+jNA2rwFuD6EmnTIIJITh3uxBBka+sChtcMoYciCjk+CZ
LUKqBD1v6p9Z7QZrXAn4ay1iOOLUDj5TPU9buc1s7izs0lB5BhP+V5I8ZLVHlAujnk1BJBRrz57Y
E8NKxMYkh2snFlmyLs6jKqGUJieCsp+dXoS6tvBBAa+icaZyj51RrDD2+Y/sOaINUvDqOvpO/WEW
eXOPXePiLN47i967BQLNKnPyA373yzjKM3Fhj7FBOJ7rDFdZZihiaw5rR/Y70qf2C7z9o/JBxOwq
0Az5ml0aAVj+pACUZaH30mOImhDyjkDoLSd5FFV6bjNtNfDRf4alyyrNJ3p8h9cd2lePIWmkJhAV
LEdjvpvbNnwP0sk9wiOsr0tn4YdYhOG95E7anNp07g6TZ5h3UxznpNH1drQxuwHLQx+GW7hpzz5s
1Y1XTBKNEzGbeTSMX0bb9RiRooJlGryM6GYJVjOlbxwrRsY/OrsP10Pm4sflE9ethlLJryr3xJn+
Uq2KKGbp7fHKbEPMUZ/YeNqtyaeTWquiCqzoSMAzueU7SyEPUwJK/twy04+2rr71/iy/BcEi97Io
s6cic8ZrN0vvFQ8riV2sQWAhNPKS5kMEfNAj9bybLmE1RZfRJDusbWzjEJgq22NKFY/SyM0EqmJR
gZYDi7eGDEx/FQ73fhlnd/nkkNKeZ2ICMVlYiGdpGbgRU/lKARWLdReo+IgLdH4G9opiWXXWVVg5
2ihK1PE7MhN1CjPPocjp0v2YLf27KkJ1CUHNHWju7JfO9A0o0KpSD7aRtu+5h+QT4AlhF+txMlwo
nWaGmi1UBaWNY8luhfLA2GZ0Pej/lF/DpyedHLkX/0zpeuo6el7x6tDeMKam51439HlwwiMGnqsS
BPYZPkOztjtYqDIV4dZITP+BYwOcXpaI5B7PUcDe38mvql/6y4jz7zpZoz+tBC3kM4WNdXKyvoMj
i0aLDChuUrOfY4p7K+UibskDTSYJd9a2pHEuGJoN2rBSWfyjZfogFhuG6Lhk165VwxaAaUlkgJVv
GG9MB4mAhSGboepHcsvCB2LP60tckIs11j3UxE7iq/Ddmf1W4OXJRaQk+MmKhYAVd9OZmNV4b9qi
vxAcpO7IGineXTh0pA9CtbbXYv5Shw41hFtTWVltIT4ssVR7ujRdTTbtswuIY5M4iFESQj73MrF4
xmZVZPdhlKtHf7Cmx9l1FWFoVUvDHJBQzNG6JWHogHKxPchqjC8ZpMBDkLnjqSfS5wrCtrgmeGZf
G4Ohpemb1U9la77kMlXiQBljPMt5EA9jJ9xXZL8GzgMGfedepR0cWJkSrxfwkS5t+1eZoVGpLFW/
upVpbYx6al8TJjR8KMBArXKZL1uEYt4udQJrL9Is1tghhbEw6nArgt1AFS4ioDZFuEMSQVar7av5
WGWlfYkKHCgzgri9DzJ9a0Fo3ERWaoEqHYK30mjlrunE8NQEbXjlj+Gx7pV8S5RV7IuoJatElM29
8LrhfvQIlZ4lWA7HEsW7GJLgPfCxluE1JzJ6MhKijzLBp93rYX9Acl77hhTHNhubrdUUhbN2WYGc
KPKHUz06zUYNPgnTi1Vc62aq1kRA/BD4MvEPdieSCznrud2Ig3yv7QU72TzIJwJE2MgiTvRjGb0g
Jx5/lh0Vndfa075vCdVeyUEQ0OvhNiDtmkF3TP6oUuQ92V607pk3XGp6//WiQ8/boYrwnrQ8kRgX
Dm6K/Ig2HgnFWzu3J3dIjDurGg8Fe6aVJMV2MkCbc2Rv8UXCp0yL5kAKX7vtW6tdWxPt3ZbWHQeX
RT2dnzLG7SbAop4s9ZQ58lowP9tlfZof4wHe8pqYL8K9J4wecdu+IzPjZB4qBKa+smnFFtNVzy3m
vM2AOGErGuViZijGJ9toXZJVoio4TFY9bwsWV+SaTSAr0id0GXxuiqG7mh33Wj1g9wnpej8afy5O
U83Lg93VfWH6RATrVDt3cVfDdKrgxlsd0CdLiX1vMwMCdb3sSyXyN2sKPzMur7wIv8c4Ew4Kkhev
CvF+Fb2CQ1qZSxA3W5AKuathP4FlH04QJ81nZ4a0tGoNSOKwN+Ye8rE72MRx4LFlsmjt4HJgGBWm
8WsKW+9ENHD7yvPRXKRPQra9wOwvoqH6ROg6HnxRy1NP5OL3FgIuctjyGmYWiumcvJNoLMJn3oCC
1xS2Azba1v/ui7nfOl0T02VN6Ya/SDhvN1n72lyqa26X5qVLkuJNjea4HeOoRl7LarfeQTrtDsLr
kU6wQw5+gSOFmGIY4NNRduIdROizSiJfJVvLL9Eie0QAH0unNJ4kIuhkG0/OeCgnhiR0eUj29kZQ
Vk/UGUl5B2+TFHijyFlocgys46NJihk2CPyq6iGYpvZENnn+iIAp+Vlw4syr2NFiggn9bmd7yRe7
KNJt6giieTLLeunkmO8mQRAZf5b2oQjjZAeVmQS/KjG3zKkBccHKPZDSLLbk5tRPnVLgiwqkKhhm
p7Y7ttVUbYYJlYpvMv7qKTHYXmTRuu3U9KmSafqlavHZJW77LhEoefXI0NeFKPoQGJF3GJahPywy
Sdb4idVF2i1jh9ocz4xHYR+G5PxIZu0Yi7ieOnOwT3bjv4hFFecOi8RWDIY2wpXdJmb0t2K4E23c
3C13MT6XMyEN6qEn4G0fVsp47gFP7JVreShJSg/Xyhx++nZj73hGI6KIF5u3YSheEreCymz70RXI
K16lZex3RlpYay/OPSgyUXuxS65OgKlLukHmnwMCGoPoRFiFzvDstVtcNh9WOhLia9ThlWUBax5V
MVnhiALzl7po0xNwdnlob6MGDVsIPDxZKx9LY5wkE1l3REtDMxwNCIeJkts4NONd2suQwWmmDLbq
lXOWYHK36PudQzF51nPYBzGiPNO9G4jRObizk+2zWVmvfcsmrBawMDNvVMckD6urxC5grQZvESz/
TSN5c5O2PzQqq59M2+43k0iiB6QnEk3W4jDwwlvMuenTJSSe2DoKdk9iFf5Bhj3pvVFNiECZ+Xde
5+ZfxqzEvNWX5haOvjgsmeMeg2Z2djr4/ViOtQWhMgy4apgjkd2V2ZuE/dylM/tH1+ywFdbmhbjA
dOvn7VcjrBgK4VMaZ+NbCR9IJyW6X2x2jivPb9tNUtG81B7U5hrl0qkGybNFBM8ceHIStR26CpXM
UMBa44NBZlfR444xM9d7Yb3hQqfrQ36DSa5aZPi/MRL/QJH4j3IorlVS9gSyiNve5O8gGc0e/cd+
DeTqn/s1nSRmYx9ildH1+7KW0OY4go0xkCfQSslOuGm1SUtlfGkCMb34GM7f0BXVDyJeojPM+eYb
gQrpFssEICbiPqN9PMz1y2QHy850DUDGMsOq2QbGtRxbEfPcJlDHHd4Ec41F0V0bWLHeHC8wcHjl
5cg6oi9xEEln65TZ2fcT4weOb+Kejal6YNzTHaBbvg5NZzGprd1t2ATWmxgGee4tt1+niCewuPs8
t5nr3jt5luFCs1t3UzT+cmxjKd8p1qM96rwU+Jn6Xo3udeiHZ4ciBUMuzMYAe/7GXeL5kWQDht/Z
cknGTFKEA/dZmVYbICscY+w5+dSCCdcB6p8AyZHca9II93tBXbgdDav6uogiFxuApQQ+trE3XlCp
QL9vKHhXeEO8x6rqxgcwdKmxQ+AR3s1xJn66g5l81iHZXrVjyC3aGcFoM5uDFXHwqyX0gHtV8+id
nX4wDi6ZMJsOt2yzBjiXLNu5MqefYze9dcg+IOK7yc5pi3znoiQjcobFiVe77KXaJbkLletjEi1a
+LLMQtmdVSN50vgQHhYMwLuSUI0TM2Dvmpgt6wh7GpMnnvXgOAWTOgKEGI+LSZHNULf7hXmMarBQ
anqJ0VoZ64GSQWHeKkFD+JZBwJwutcdb1Z3fKnAkk8aZi5i6HFxnp8nuYmfS1uMQUXH8wAai+mHf
6npEetYJIBPFPskOE0cELYDCLMIkirYAokGwynWrgORUIFSKUJ6z37d2Nfj/l0L3GO2t3UBXwxvU
6i7EvjUkqP2K10J3KcWtYQl176JgnRLDpogVj+eg2dpDY2zJ1ehWwa3r8W8dEJD/ssZbJ6e1T2bF
aSLfdjs72IdXbcYHN9AKwci15Pe6ZAwZ+ClIXGADV2dq0/3MYh5xlm65yCd9rluHSahRPxmMOw+1
wQtmG3X1VAzM3iswl1ADuglnL9XwSWLaOo8xfZrThvTGQ4rEKGYFH5GH3AfrODItHcntrlHO29fA
V/K14T0gPUd3jZnuH7NbKwlQNCN1sWdoQJ/plGm6Vrfm07s1ooHuSWvLzvaN7lMH3bGyhYsuDU1s
rbvZRPe1he5w+SF1r0vX2+r+l03NePV0T+zr7tg1Iv9b6TTfpi7NPjzdQ0Oo9R4W3VeXusMGB0uz
vei+O9YdeKB78fnWlue6Qy90rz7qrr3X/fukO3kw/TT1re7vS93pL7rnx6mKE4lE1h7gX7EabsOB
TM8JBj0xcPXswARGvpkZJ/xpdPc3PM+fD1a9Jv8Hksvvc5USESmLkNL+y76a4IlodqbZ30PBf17e
7Lfmu/HWPKn77hFtYvlg5P8r8pD+L/7lJIfkgnCH5ThPv/wLekgxNig8VnT70fPDj7zqEqjkTjrf
Z1OyiDX1YX0maKXH3M50+cNyF7K4nBC/nqVBKOQIhzvySGa8Q5I6ER+izc0kiDIy9wurwa8ducUv
Hvv/jCzLSpFz5bCC3fbZ3B6mpmoQzBPR6JXLdOR+5pFjSLDypP80TAv0QIoqWmjArLkD4G7WiRZ+
5S7vnkrDI75aNi+N6+9hFhhf0NC2l6Evs8e4GAkzyQdrOY+Uec9xALLMUUkKWFdNapNOSfvqRLZ+
JAuRf/3Xb6Mj/vqiOgISkOV5DFUdz/P/8jZ2sLdp+bTztfedU5klxx7p5NadjWArBF0XFhj3ajo9
0hmW+mLtJgO7AyGtb50fx4ASKhl9zuOgTkXuzGfDtzoAWHbwRplXvdoY4ge2ctvBJAWAUliRqtOD
AoF2kvF4pjYrP5jZB7NnhKDp35bceJEhSXiMymrbz/xUdiBG6uRwQerPyruhgvAwnLC9dPG86Osp
vV1Vy+3aYvnMFUb2CvFg+l77/8N7x7T/pdzukBTff8Tf8/+4tt8/f3bxP2hrfn/z37Q1wR+mifsW
cRuUA6btf5/cu38AUkMjYyK9QSulv/Jfs3v7D/agJLdJHhUhcG79j9m9bf6B3oYPpY1AlGPm30zs
vWX1/fkEodpF2oe2R2v/LGH/pRYUTGdqBWJ5X4J/3iSymxvIHRSmtTE3P9CAonAx4+BV6efUMxRx
qywFN2R1hkfhNeIT4Xx5QOYNIBjw3FAExd4p+vQ9bzO5qxavFitC65ofTU/OAy7qbp2rObo3wm7i
coiNXTWQYUod0befQYmCY6J1eqoNlzo5NmvnR5iTa7sqHS/ewYzezcFwl6ROfnaIl8Mq4/XHZomO
npdgnbdKc5fUwYM5JM2hDqLhzYua4DMzPBr2OJ7DPbSWYWeXFhTbPM2nT52I8j644XBiJio2rjf1
+6WrYuzSAeB1YZZ7VqzDhrSpu2BO/AdCiZReCFRk5DLuauYBs0PjYEBAqXRVXhZvGXGzlSzgZu/D
vEyZqoVJ/WVcquon2U3eXW8a9qnxhxewBsFX8uL9qy0bdqPChc0vvCpEPZ1UXY2Num3lNow7pNxz
kY57f56Jr6hE9tYRVH/CMtZzQgkctsV4F2ZJckliD+MU2hSkBXV8hOElqbYZxOiw0OQDD67xlfw1
/9wkncN6ows/6gnZMjAL1/g1zl5/V1Dsv1WpKO54w/k9EfWtQlb6kWs69woDXrmBmlatZ6T229D0
f01U9hucE7Ac8pFBbpNpEipKZVUQZrJaclYCiU2Hygfe4YUySN8tBLfCEgZE7Q7m2xgR39N4OeMo
F292PWSWNrp1B6C0DNrsgF+dGg7vVO+uxtElVS9SNmNII3z1MbVs4B8ULzBZCVPuWPf0S2x/m3A9
HQbhV+uR4eJDotMg162GaHkjKT6tUMVGht1WYdiFlua128KNfwpeErwSRELfWxYJ9QPzCt5081L3
ZnFR1RJ8Ij+IvkyjBYZB2cXrPImcJGgWJIS+NMjtJ2Y//mgwZ65N8YifEC6bERi0qxUVOXXbUH92
TvfA6hddDq3qbqhTcb/Yc7HDVT7d43EZ4hU6IyjBZpB/ybmBm80EbXRnFLxmQWqZG6Mth/fFjStu
GL9+wqXChiep/d2s9LR7Sj8bp1uRHNju61nK16xGV4qVgvA1Izq77ZxulJvFexInyy8WqXr3Mb9d
r4Vly9ZEbKclNGl031dmdLUXy8EPaduoE6wF5S20AnPP5TUiITLn9TCn1loCIv4BHqBjKUYbeDBc
DYsii2E7tdkVLemPzppO4JtQDTD0JPzN2LWVQt5j1we/ARCA2vglbgxmvKU41qVG7IvYMzb/+oq3
UTT/Q93EqSdMh3PackGMsbTk639SFoYS3FnFXhK1ccTobgQSZa7qGhYLH8cSOU9eQY8pSKzoyrd8
Igt8WzVte8+wl7ioKCyBti0jEO8iHjb0Svk5QHRbrCFDs4OP7PKtavKW2YtK7C1JpE6x7THahys8
GdkT+jWe5+z2bIOSsZ1jyXMBaEqfC8qdCclQo+0AZCAh5/1f/+rS0TXhn098HZHicPNAL9RMhOAv
J/5s9Iixs8jcWy5aImpkWWT2s+FP7wghaI4rMHKujJhetsSEM/izyRIYJ+bQTVszfTEit0WJthCn
isEMeE4qXLVBrjb+xJsR0QEy3paNOmhhTXObfIuhffeZhVd6KE7syEkQV7jOmJc3enDOZ6u4TnqY
jkW52cAEJzzA6uKTuE3dOz2Az9rMZk6jp/JmZvZbXkexDlWWbkY9vneDiUG+VME7nOjyHeYPsd96
4C8Ijbgnx6m5z/U6INaLgUqvCGgAw6NXwFic0Wc+8Ue5o5RK3lJybE/TqMgx0yuHRS8f1FAv+8pT
9kXo1UR021Iopw93Uc/qgvKVLQb5QN2aH1th+WXJkel1R6tcb5fpFUh+24bEejHSdmH72gvXIlMy
qF9Tmxz1BlPRL96uaJP0WaapTN1qqt30jE0q8taDXsQYvSseAr2csTslDlEY6I2NXt40RHi9ekZF
FpasymvM1u7q63WPuQA6QfUbX0K9DMIrTAa2v+mhDW6g3MDL8bupZ+fAGkkopR4nvVoalU57i/XC
iW1zyTsyTBtst+3zIOCGY/PDWlJZ4sPRa6vqtsEK8y8gExVo6cXV+y0Ug+/IuKAJ6PXXcluE6ZVY
CTH9wpaetZlemNHWsztr9RqttZiAriK9XDPbsb5IvXDDuVc/erctHOSOmQbOy5lx2mwd9Lou0Iu7
QcXVnYdclalrif0psuvTRNPyCINBHPMmpFyRRzbaVOblwyxIH8AW0Ki8IH5kvps6z9invgRjzjWx
njmqaLb9beRxeoX6HLMjK35kRGD88vUJN+qzLifOtFItiiXgNauyy939cjsYh9shyUnhbAZ9crb6
DCVcl3OGKcXCQRDDKRL6vJ31yTvpM7gVznQqWUrGjEWb+Q00mr+DNMGJblXN0ygbFqWmNby72Ek3
Va63fEYrdsXtYkj1HSH1bWHlVk9Qhr5DUBclxkFiyUzWSG+5gsygpkcIjLnHrWs18gVNhvvQ1bkD
4kvfa0kb23qRaGXunlVwewLEWe+YbBeboU2XTXq7Qcs68j9UnTJ3Y0eCPtkTSX2GgjhyhvZslKoQ
rn0Y+4gm2tuVTqIPb+xMQNeGQIRxZxWNJAe04y2St6qBwTBRFVQSiy4pYLZSXGQ0iWsGSGg/dN1h
Uj6GQdysvSLuoQnmUO1CY5jOkEhrBBvGdAxdGEs9Qth9TemzGf0iPabDIPoVig9nY40IM8upGkgk
ZEB454ouPdp91d+lUSHAD3rOfd+5/lM5W0BY2i5GkxG3wc9mQYU74aL9MebDeE26OfmCioKQT+yb
HcjJQR57JkQbI2yNaVNgkMTehax1hXHKvvcMezi0Bjm91HRQ2RQYc50aIdwr4Lb4VId1AXpyJH6i
Rmn4MbXjm+nV9SZAOoaV1DZdtoi+tffxrb2gHPO3KV3DsTXQd7KX80byhnCOruoO2rydOcbVXQj3
k97kPBdp5V2Z6rrrROqkwyKpXupKyzRJzM6PtpGkPSMcaOL0h37KxVuDlQqmtLvzalKiGM8HBwpL
82MKluGHXZU1r/ECqpuCNLJ3JCa6DBbxlzaryOJlnPGM74lI4SkGNZ6cpFfj8Gx94xQ0ozoU6TSd
UonlVUPsQfM0XvSYRIb5zZr868Ic9cXOSSKZKiPfw8uHkLJYtMGKbLrHeBbZe2p74YZ4HVePMov+
I8K9+V4PfbdlPpJvgyoL9/yVD5PsgS0/kbvti9I7C2STTGpln3OVm8mj0dA1lzYzEzQeVIErNXvO
NeHXCMmZWbteSoRn7elcqJ+mMHAb95Cx0H4k4OVqM60IYu3ZiNjCfKu6zDmNczfcIUJUvA74txUB
IHyzXI5oMzJ+gRKFhE/BvgWI4K3ywDsFpvOrQEY5TxUpLBPZfqsA9t5Rtq7P064oyssU7BRe+3nP
yUNhHWYmesxk42VV8Upms3hD9TCwc83rr8p106+4GNqf2U1qT2DDYewXCDrmK2m4rBnS1PWOrlPd
CY8MaewgFP0T6MVp8rYZcWKE3/4W9o9TYOPYrjzz3GI+PPoeIyRTWwFw0SIS7OuUNY87f0sMPqem
Ng9MyhggfmMoEC1xVZHnp2otK13Wo/eiUJ4GQEL4EQZQWPvAaWCHWbO4JG2RnOuZ1KDzoM0MnrY1
oPPH4ZBos8OYgd5Y21nnX8qbGwKIV/pc1gqPxKKQr6baOAEhrAYygJkiSLWvwghdYJFS2y2w1Cff
ya90cOzWLaGL2DJSH2H6NObhkR1+eiYLi2EKvyhi3tRAd0878pB5XXwoW7lslTaAMJefaJxse0WA
wswYPBD7RCP4QBHKt+LG5Qs1og9e57xDz1HtbGuQ7zHA3j1suHQV+ga7hiKfeWrb2URlXxLatKqr
7siC4xs8jLtFmr+0PQjJfmh970dDPsBI4XqsX7pMOphgQYY/iaidi71KkuUzheKwsmP/tehLiuqB
u33RBEM1tmrvm023mmOUBaYmHSZAQ177aGqIRdckxKYdW46ksd8w6K0faxniSeAq4fOda5Ii44nl
BTBrXa8z0x/WjOAv5o25WGn8Yl5W4i6lZV8ZYeTdAW0Qj8MN1ujcwI2QsI1nl6v6alul+uVkH2G3
bEpVT95KREvsPRB54hzaJCOo1SjvCvy0jtl4aKTyUK5KZG9eghQw16xJV7MAC5eRcJGnu+AGqDRm
ZOiK4eimhgKCNGW5pyA894I0LHMAyvReLU8zVFHh4KFtSpH+St3oPtNQTJ+t5KN0w+Ybny8uL43R
VBqoSZp4/WaOmrKZ5Ewh1gb37D7gif62uJ36Ak/K/hayqvvqgW5Y9ygUjp1meXITxMSCwvf045Q9
ZpjDdjSgf6ZpdATohaFXJixbpiF+TNLae5o1RdTFiA33CnoyUZ3k5aXIphDmufnBx7ewcJ/K6Q3Z
NbymsrJsndgRH8jqLY454GAWNkBNFyOYnuHdgT0zKtQyuXR2BDukB4fsENTpVLJzHs7bMQF8SA3J
xpv4OqiqrW2GVxfNxxHs3bSLtFIsE1b8pdXA1lH0oLgDIK6+0waHKM9jUvISdrRJSIYSPwOBupoD
ixIqfWtucFgIL9G6TIqniBCactVVxrIb9YXrkxO1t6zsS47k8EQiybDPwpqCLIvB80LvBITjOS8B
q/PtMtTVKb0RbLsZmK37m2ubG4qAwi7jCcxKkwN7adXIFpUnix+lWvdBMYyrsS/69RyW9utcJh3Q
l0X+IB/ZPsSYR/ahXXSbridqh7Cv4lAKHEJ9SW655WdpuEorTjOlGowESE7nIQPIYoXhXQkpAF3+
h8tgBm71MYIPacXhuUVNthLZZG+HKsY37zvrWJJekeMuODHhKzeUD0/05WsR5IrXtkCUAB26YOsi
eu33kBvmBAsCNTee2KtLenM/y88xgQa8BKF1VG1lfcJMSSkYuvJXHKpp5SksJb4NrrIxQgskVwiX
Bmpa9inyKvtWJo6WLWTkZjssde9KCu0rvUp/dhLCS8zZY7IEScV+TQ1nXPdRUn8rPLtYizqvzsRN
oQ+VdXqolekfTDvJ97hqmktpl92hS9S6niglp1SisHNY+C4ytfY8YfaXnnbt2hspghDYKdukYPYR
AxyyzIi1Z5qdK+Gepu4w+7yeQxl865Digerwn9iMBVjSZfpKQpBzBFuZX2TSsV3mETyGKr1GuGuH
3+bRf7EJ/5+0wvgKkfBKdIFmgET6z2MAlZYiDDHo7I157rauk3o/2mgkZ7FxS18nidP/2vkUEd9T
lhmLvQBTThzXxiP0qvnDw7zSbnPHjbcEpMORBPvq/GCmQ+zmgL3KWlvxApC3vE04TW9wq5U/MSCc
K88/IetwGP/TIRrr/y0D+f+XsGmmxchGjyr+uZYeF1o9tAS0/LwZaI+f//2/4YH/27f9HsYH4g/b
Fh52dZ/QB+fGQfstow+sPywkWQI1PF9HSc9H4W/DeGJgXdcjvR29PEWmLf4kpBd/4Hw1Heb7GpXO
oP/fEdI73l/GUj5WesJb+A+ye3LZYuuv/2ksVZeZQagZ9ZwTOozUsp58MxDgxViwaA+mNyT9EZyo
OF+7XYbXsep/4h//mvr+G5xhNO8NNabbqE8S8CQDpgI96+QNG8OwgBWTBv+c1WZ3lmNEaYo/arOM
Fudokz56IB03ikTHA3YxfxVF9b2sM7HqEnLl8Lm/VUHdwCienyrH/ImZ6mrNOucycrt1GaTOasmM
T1Zy9xTvIN0qo3mPK4DRLgq8Qz/P3orXMORfjcb3pMsPxlJd2pwd1aqH/sK6PbqCKgog4LoGBvQZ
9LqdlpChpX3uU2c51QbGs7gM5bSqpYPe0MznVwYgL2aSfVdx+8ZQiNzmkQHbnYHHZkufEW76ioQA
tCnDKhXO8ARuac8gybnUnjUdReYOuyWcK6ICAiNbNewgAkYh86RWqWsNvyxYsN0cIaZtbfnI/YR4
pcaf33TZfu7cYl0aTXknU/S7xsQc3W4i4+A5rTzFnSBgmvUII4JAHqFFEbDEHOeDq+e9nYJ4bRcL
4Wlq7PTVwP8q7fpjQA9zh0PfPAaKziOhpMGA6jp3S9YO0N6qn6nVK0R4jXxokULstEeY/b+FH0An
gWYS/QzgPIrtoGlPDZTuJ79bPqHpJusKoNCDyofsDdLSm+Nj2+QMYy8dpCYxrrgGmmzY1pUTb5YZ
vmc2EkAIMAkBMTrZPgeLMPLXlz6f451CXrzFinSqpMcHgCvrYNYt5CTCDBPPe5E93FGfBSbDmCl5
Yd7VoQkidUKL8e7oafIn1C3+mgzNbL1khP4pECPrvnb+k70zWY4bybbtF0GGxtENXyBaMoJ9J01g
SVF09D0czdffBSmzSmSqpFI9u5NrNcs0WQQIBAA/fs7ea9+7VhJuXKmhGUvqR+5X/8uoFx2+7iK/
mJFWrvMuyik62rtQC++iCZpCOeYrfW4fklmka1p/xJ+B5VmNGha9YtT3CUWzYVcYtjpMXE5itWg2
y+5BlwQVA8y4URMpWWNyRbYF9yzPe6AQK64QpVssA0r3dyOBHOEpsUxi1vK5o2Ubxsxs5dRUV0ts
xsaw0TJFTZph+zPZYwrca0TeVyQV9M2l7Fp1xrQ+3jOHh6MXRbzO/HbHTurU60kYBejKrHO7KJMb
wMHezqzAWmt2+2Ag9bxlqibPBuhhe6OTeCuFA3YrMQmhVflDhvA44KdSG3rHqiMmtaPD0Wvhx6as
AJalZn3EyivP5mlw2N6isqIRYDfmug8xY1dNsZYlKWZ00PwLJxfjNcozduZMdTbj0NPRa50zBpXW
JVKgdu2F1KWOP8TXg8FUeaq8/hLiRY4SzIH1O/n7uJtBqg1uufd0eBqrajauw7Qb1722tA2isdyC
ragCukJuoBxY4Wm3uKadyov3ZmQXGdkCeFIhkzugjLX+cWp9576XvbtHAhw+ZrpLwInuJltb6aRh
Cjc6JG6NB96143s/ruqjLBG5rSJ7Nm+ymXRIP2/gCPhZ8ki6y6MeNXSjnWklW1nsq3a8qjplfkEG
qG7iwRnWGolk5NsoxyUkk0xXL9JWrt9Wz1RQwxdltfmlW1nDmQ8fa991S652WLFZcLN0a8zy0RNZ
daE13nmoUSa7OFikzlBk0b/lk1WiLK/PYRSYPLmxlaypC0N2MZF7LojhuxrmsDqGRpdcRgw5Kfr7
Y+/EapeLrn4s9L5fmVAILjqGj0E0Nfq6jzFw51hPAqhMyb2iv7VlzDrfEDV+PdIWW5seu8KSSMZD
lfTXrEPageyZemvrtnxuynzeG5l2x+ZQ32CIwORjFt1lmWLS9ryZmKDCY9BhxkcUVOlNTejKtZ0w
LchjfP8NWi5KRtyb1uihrJlxTXPv+mj1bJoCnVbb6xBK405v0uY4al250ugArsIcXz0UYt7Csf3F
MEDdYaIwAuH718j9Psc0SUl4xHcrfJwvIwz3DWAC+uuMWjfgxnm9hKlYlwVETiIGv/0NJsI/IksH
2rMd/GIPY1iQoTbayHD2T8BJTfzruMeBS5E+8KwhsU1WqB2bO7PyXu02WUJiePsae28goB1ezqUi
/4t2QcrOGG/lcGMOUb9VHlHFtoZcHQX7CXNc8lD5nkN+jD1sfAJy6TqxIxsyJqOiIetY8z/OOI22
tV+9lCM3lNNmd6pGlJGM07AuMv1iVliH0aUGrHbJfds15qFHrx00yy/tpVO4tZQE/5Lz6un84qUw
5+feLT8pDNRc1Jk5VWZir3FbEsnttIjPxlBexREIXw87LRQ68xpQvMUOSXkB+QPm2oOasWKGTz8u
QXXdqrS5kxYErbmV2JO7Lt9bY/mHrvEWcgh2CPHoOJ39PBVEjwv7JceYDKXSKILYsl/+VwrZ/6PA
p0U/9q/L3dMXif7kj+l9wYvybPngPwpe19bJPbNxji5eT/7lW8Hr+UCfKGvpQ1NDffuXvwpe5wNO
TshOZJ85luv439GC7Q86oX9oRcgso+lBRf4bztFv6pLvZpEUvBTPFoW34wm+7H32GU9w59k5wb+N
3wgJ1XOxaHjWDBgJZVX0gtM8O+scXP0HDKaodUlopSc90PbYSp8g13qJdC26r+mu35Jev6a+4oca
6x3ud+veb4mFDYdBv8w1ze6uLLvg/ndpiYMa/5on237NltWnJWdW14icnZbwWftrDq0XdvKupT9M
RoGWdUHfG9qdbxBe6/Vu/1Qx46RH6/kbYwm5JTPhRp+beK0s/WKaCMJFBkombtoSj0u/eUnKZemo
0ehJAhNhrXWYe4z5aGNgydYoyiFT9Zm3I+og37t9k1/WSyhvaHsEDdkE9cLIZIkUuMMKbQKBTjcR
iGtk+Xde6RPzS6Iwhk1mdMmUK3CMKIZpkiMk6Qk+ZpLOm49e3wPC7YEE4a9pwjW5wkSbkjA8VDj2
N6UJv+1ofk0hJpNAXdfoLsG7FZQ0xzpmxrcDJKjon37NMvaLegR5a4RjtZYa68Rq+pp9LI0lBzlD
Amhcozb0p8vma1ayIXRqrFmvw2ZPYg9D2KjyjPnQ651D5gXjBsCy5MUDQICtOvPCi7InlSFovfaQ
K5ssr57nUUGZINhNMDwT9IxW9dvQadUOUmr0opeVdIO8yv1d0fTGg02sdMOYRsotfLtX3x/Pe22o
r8wCWE7ZoBJZwQ3dayOyFxeR8CqiLzaMBWL+ekAo0o25f7KaAVxrHROSlepb2hQ5RtgwGekV6MMO
BmX7YuXK3ZemFsUEdIOoX2clWV8pZc2djc8A8IBLzcG0pfNuM0ObjkMYz4GAD7yO2y7DEDLV694i
JpsGZ7RLJZgM3WXxXni9Gz32zvpmQmXMnPEuLFBbqrq0zxzqWaZAGtMSQ7+UNGrTsm1vJ5HEQQRP
8BLEUYjjh9yRJV9GwH9uINmUZeRiMALMLCEID9kRtZm35rua9UT1dWwQJKVI5UV8x93an5eIKSDu
mtQQq8mPk8Mk06GCUNmvkSkz0Khkf5BqSC99L1QEISXkYskyNNpAmiMbummAWkqAx4BYABruKs/d
hxHf0nU9lbsSgtsG8MT8gMopfrFNbdg0nlvd5r0EvoTZjOueTDsnkfVHFzTpIdPm/lR105ey7xlJ
MUHIN94YdvtUSxLwjK6WPlW0DG+HcjIgOUSp+6maOoMxUe6Iw5AppPdYm9hyUlY4mtlvbFX3W71G
ozD7TIOb0c6CHP0zgv9ED0Qjsz1zxjMdrWVgD/l4cpY+c6i3VCitzK6Ie63P2ioBGTFF/qW06hDZ
qgq7/53+zv/VZfGnXaAT4Zi0gd51gZZFkY/9uSiKD+xwUF16woYt5i0KmT+7QPRzYOSDkbaFyZoE
GOEfXSD7Aw0ZelCGYCUl+hPV8F8IfeuDZzm6zTeiJvctNJa/sSjShXrTlaTH5DuL7himg+V6APvf
dSXtGjuOpqf+vsxS7IkpTWc4WWeAVCzmAdKUgOTHuxRHAY3ZzA7Ao4z3Oflit4URP0rbcYMq9r0X
RydH3oRo/rFV4toAUE/8FN7qGmKISVrH3hxLnbYCdR7uzfABJ15+6lLtgNu72vrAYPakwt1oRbrE
ofAdPCBMRuFbQxih57TKGL0lq5bZCe2fYkcOkQMlIfbndUXf586fJg+aUUeOyDBVpyYRUNgU8Ns9
AWrs2qoUSmqBVmnvt0wwsj6PnuKq+pLCoHcJr7awno9x8ik2k+c0Yg7XRtkpFuIiQUbNKgPGdizz
7UC+8hoRVbsGy/vKSwYcuJTnoVfnhEn39n5EM4H3PMxvEpnVJ2zQ+6nnJTvkvBeamMBPJgnsOkC6
BqGI23XSVeCGFnoXO2rrUHlAE8Me/0VF52WduD58B72X20gQhSTshtz0ocurG1wVzUELQ+wl0QRs
2Ff5R0Rkl16rf8oNAmDARhYKUSmmXc8X8rZPmpjcEDe7ZonVdigM0OCiz9evbehiQADkQK9vLgzC
qlLak6RozRbtMi8TSx+LQUgW6cU+pA+VBF2ise3KaqKOG9Trh2Zw5GczrICkdXLLZLY/NkO0jXkq
tmoKAW3Yw1EX0YCXuzhffNnndOhwZDKlCFLTj9Y5eUKBWYBkV711g5IINm7ttEenCG08ISbbNcWM
yCi5ZvnI1L3ANGSRofnF8MrivlGy3BAelemAcuocIW1q9MjFVOn3gTPH064N54hZtp6QIIBKD6Gm
qIwkvY2n1hjOCe3JEekONtv40dyMvtMEeq3l6LJk8RDV/nzlhIyxWj2/gF6cnE8EMF31kLmoIUNZ
fJwMgdq4duetXdK4d0tKM1qNNU6kqvdekJL2m7hIrhvUfmc8LZDWZZ4YJ9LD04vcj12W/qbTE2K2
8jlGtGQSeD0yky28XNu5tIg+s9RpO4PK8CrE4bhC+C8/AyTMJzAOdf9pojgPlKfMy9Du9esYDzpW
eeNZZCH5UyMEo7a0aZOaeXOVcTutYtvcZXlJjGdtnOkD0ii319S5J2vW5rGpN0NEJi9i67gxvBWI
Z1Sp9lMER3rDlXuEHVJis4tDzoTwI82LYI5Xxh0hOGWQgj5sBBvDNKuQG1gvGIWGrYNzpqbXytBG
YCmOujOS2daRkRwz0zhv8/AxlNbaqyFLqOGZzSOLun/BhBT1X9/b23HuX7ClGiDgrS+UiGyx+wqx
jas3Ww8Z1b40uj9sr23PIs8g0QmB9Mvk+8MZlpX2Oi/N6dC2dJQS3HLUBCmuEdV+5lVsw4+wXpTI
fDSvjQM4Qnrr3Ijjc5FoJCPlcpdPunFR1P4JLMCERqA3idPTprXlAnW0ugraRE/jQME5ornU08FQ
WeDzY6cC+2LnVWueuy1hsN1prgwKH6JadxAe2iXgEF5TOJ4yw0CSnZvFUYNhEHit4VzQHjOuU3SM
VzYKGbTJMaZEWkByoAe9IsQ2PmNTZZIVrGXiSxtmCmOwUb2mSnqrFGrlVvRzuc5bm45JbvKvsS3X
iUWoWT2MUKqy3pw+jkDOke+Ok/kIi6GDawYW7YlAhu4BAhkcmyJOktd2thYZbs4LwIpUdD8gyxgC
086GFahEEDmg5uCeRXKjKOuB1GZE21HirMc+I4MxI3BXxVYY+P4RVCBj8mFID7hobyjEn2qCGvdV
j3g5jsIjY6xnOfu3lXY5RoOzN/1dZSoZNJMTdUGLIea6z8MD24FX3rPrEuQArdMrs4u1dTF617rO
skJ62orIM32LeWtcD3r1bM3XeQcJ0+MzhlE95ZqZXLe6fqgcXg5DQ0uVT5T3VaOSADVE9exXlJaO
hqmGatqUnjoo22OxsgmII0b0rs0gJdQaD3uaAqUbMkvuaxztyJR4MEmcRuWal20wzTOc+gZ85Kp2
d2MBHnG2SpgwLt7pHj98vYRKg6apg8S3ynVIpNPJQ1/yFBPaxCSdMC/XUTu69cUt4RxbWDse+YJu
F+hQDk5dp+yrbLZv3GlAzGqyWbAInq0AQMBDsC7Gkstsu7dtPZPcTETBHp8C75zchmCYZVvTmZm4
Qs0cHUV/WEu2CHpfsoVIKFPjljTxTxaSbUgawtmK1rvTmOd8GTr3iTXFu+1n+frffsy/Rdv9CuBe
vDP/uh9z8YekHVPQ4Xozf1wqTz73Z+Vpf0DVR4UpqCRNx3ZwEP5ZeVpfJ5MCE45OehJ7qX9WnsTX
m7hNKAtNQS9nKVf/qjxh8KKIp6u4tHj4yt9qx+A8+lvlyQTUwifteLR3CO97O39MGY+UFnHHB0/K
DMBuU6pD0qr2omZpZ1qgjyQ+wJufTKNfG0M6ozPyyJ4cNbnBk3zvqFbbwn0H5OkmLcGerQHEUsbs
l0lmgFwVy49wIfETx6W0r5xCBynD6u0uy3i8LOgM5mhEhl52mmSGRaOO7kHWw5YmanzfjioPmFhS
EEz2HZvIaNX3Q37JQ4NycZj68K4aBhPsmD3VhH64c40CAwKTv6Jjy8DBcasJNlEU8rjFxNjsdPBP
yUYhYP6okcwcr+ulZrFno7i33Mj7CJfmrM0W14WJpdHVdkXcEVFkOesKAklQdy6eKZ1UjThngbCk
2E9LldRTLlVjd4yq5jZE20worI4xZbTPtCym3GR2tEnpI4CqQhSHl2pifwpCYhbqPGxKpA8Vlyie
KNRauR0KPIYJW3/sKTkQtaWui5Q9nEEeEIQOJigMXMe+KKeEIaZvZFsH08jHsFH1efK1QBy9crqI
UdpdRGQGHrHt2usRoxcAlWNZpc4aHa+2q/Ux+2MUtntCHmcgDfR26AWJDpwL9sEmQCItuZUiB4/W
+MxhexSlyHSXOaJQ1wqgy2owaR8MVZ/dejXhzuTGPPYgc0aDf0NtW+1Nq4wYsOXPnQqve0SVDrGW
RFCEryDR2OeUuX8lVVWvksgtP0I7yuBU+VRJJiOUOWHLjQd6Y2aOIo7em+nx+wTBs3WgaWQq1ipm
zFM+xpthbraDlu4F3ivElsOhwKxFeX1omPwFPeGIhNp3V2hsgjS2n4fhngmd2mlRiF9rwHGO0MfU
mQnLu5D878sSY/S2tEyJIUC6TAa7Ky8yIbx3lXVMIMTQ/k4vRNHtohBhP7BKnRTQWieOlUxDhnmI
0x4EBdkpqvszS0tFFERDrr9AXnntBLmQvpNsDctYj56zKqbkLoXudtb3fr1ChL2iJpVrbWaJmPpr
DaPYRrbteI/v3z6YCqddTzz6tORigvqQexiu0S28iZvIUs9LHgWTLgFeBXdywKwNLxtbAZpsn74u
mlOIxm+CL73zOlRome3xpf483Vl5eWOltcCfZ4keXHw03eoZVfuqxRm8Q+sjL0eH9ur0UHvo5NCv
FVcDK2rQKXVKCTr12oHrQMq8JgKZTRdZUkHa60eB3Kc5arN+M43R3SCH5pxfDathui3D8iEtbkG+
Up+5vrVHjZRBV5go2ZjHxImLVNluLiYFksPGgDSr6VTWaDJb/R7RlrcqfeYXuWneyCY51LCEm6zS
7824iQNvUvZqZAPcLowDCj1vMHY17d3CNv4QoRaf61k7I+M65tFllWZnBJQd8tkg93FJKu5q56PC
yKPzBos3oiem3HeKRTpXazyxDulz2HeomPSwAVFGJIbNo05Tod2S3E59ZdIJHLZuHELyqZFC5jiz
rWba5yLK1UVBKHKg2zWpxTPjxnlt+qPt743BD5OzgolM9YhKBguZaacV2IsCQsK+hF4oj2amS8Z2
LeKvVd95qt8QIUOvDrWxXwCr0CDW4E6eQBOQ4yg3+Ux+6mq0bbLdGrFMdrBblTuv7izYb8o8eXK0
iYZyjW3mW+2G7btx05LzmuLXCXN9RxsBrb7GPgSaOBoIwOIVGgjlQMz1/IxJM9rZSCNuPYMks6TF
ZIGrlP40Z1kMc4/EMtaJKUn8YGzY7hxx8ps3SJe5LkV9DcwbaWOSDCB+pyqA47VHm69vE7e779TR
mcHRyFA/uZ5fnUQc6WxztTCYyIxbpQ0bc93tF3ge9AyMoKjyywoCtHBRjqjkU4WUazslw2ejILbF
I93S8yfzKtTr4aLseN86bfMcu89ZrflnE71w1o7JXKvOH45WWYtVgkPejcprTD43Scm4fMy8KyMc
wn3EPAPGV6Nv+lrAJ3FGZ5+VIeaw2DpDA3yDwSolI4noXI07cqPP1ecMpeTyG8lVMsEyaqLhipvs
fjaq+NUWUP2Ic8NglJXzecKsnNY76gUSl6Z1YtTTq18ai0dIlpUVtN92rF93r/+t/v6d6s8lugcW
wM+Kv135Zgz3j098K/tc8YFuoq3DSPUd2ov/nMK51gfHtuBFGN9KO+ufsjPDXlJZHII5F+Gb5VgU
Y3+WfYYglYXxGw3Hr8ZxxGq/0XCkGn3jB1z+MJJdPCooh5LvvejMdAdVsF0cNokEyjQSpLANkw46
vREtc/pk/AV/6G2aA57Dr8fjgGi/GfwtF+N7kVsmrTYli3PYzKJNVrOQrwqkPOMBqoHvfoOrb3PE
74Ec1M5/PzfeCXigvtodbfR5b47FAMm0sBEPG9PQUx5K264CMg7BB5pmdUpDqU79bCW7DPwQKrDG
f3GyUl21RAUDtBK8QBD704iZhkpbpUu+xCr1ZfMocBIPq5gq+gLri3HW62b7PGGFCYPWoJol7tnD
bZLPGQynwSq/4DrHJwXn7C73GhCEhK/UxnknGv0qzqBQU4/OyNUSV3wB5FCSKDkk7PnarH+l8Rh9
kQ49nbRwKXPCbL4CQ426Bf2H3NVsPGntdORRO7N2XgMLV/ta9Cljx8jnT+ndMHz0cHfEuAdqYNyx
ZAtJ8tQEgVODK7GrZov4FoT1Wo3pY2AZaQVo+ZXlquY1Z0Z35rbOwZXcD4aix6K5xbGYnDu8XGm1
BlgRnhE0OJ8j3iuu6L8ex8iEWBfqKkBb/KTlKIo9jNDo+IpdYbvHaeybVezjiKsrMp0tX2uOEDvx
/fU9LCgda0dm+Bl4OYcmArENgM010puh4DyRGIHsBG3SmmEcMF8XueKo3Av8DxjKcR5HUUrkljF2
pCX41PbFxCTNvDZoB7SmdjPVag2WZzFGj9GOEYBYZ7l/MGuaU2llcfimScA9ydciif2V3Sf8B5It
F17anr2AH6hs4cJGLSGvFHQr08l1vGb69dAjpuzLhkenkH9IMz3lBakApiOfh5Bb3WjpDgDX28WD
fl2mDbEYXNHUIqA8FNFtZ9D50Ufzxe7Do5G6h7pMsiDDr6pXI1ayQVYBxLTr0EqJycuNl8TJt1aq
10HedztLT15100k3adg82fyPCr0Ly0peU5/OZSfPZJVCb1Eh5WRU38rG2aEuIyBInUdhuuss7RhB
Ed9U/sR9N3omSPOwruUxscSgrxMRtpd1Z1/EWvlUqKQi8w4uuTVk57o/fnHwr6/hjuB1zfnx4Cyh
QJPUHaob/E1vsdWZvQIzO/F4q154Fya+jAsrHJ9Jgn0cIWJt6JctihykbE6o3YWWPE6sscFsCdqq
WhsGpluupzREB+TIcxmm5c5pzKdU9zmB0FvpIYfLhphql9qyWAiSiBuAOtMQrcgSzXUODdVJOwBf
U5hMaJPxwwKbmfwAHh9quyxr0STxoKa1Od91Wkvbv3XvBp0zLdz8qOhiYVGhAUWbdfPfxfXfWVwX
ibYBZOe7N/vfMrH/X9MX/5q28o8v+LPH4n4Qho0q27NwUPv20kn5s8difKCNgngMMcxbVrrpf8AR
jxTGBgvgC5c+yl9rrel8cAQ8H8C+PiqvBaP+G2ut8XbxW/TjLLGOTvA1uhvf/aoA/07hrflRNVL9
EiICbUAydovZNMoUB9KUp7tKK9WZn8Oi9vOQjT9JPTvLzEL2SkVxcIqs2+V2Hz23LGpbpWp3+91l
/cGCSSfpu1Lgr7/OtZlgMYCEK/V2uRQ4nD2JUvqAOebYauYzkRX1t+H1vzRd/OgYjFAXpb3O8usx
R/1++ZfDhOaji+xDlkfowFNTrD0jv/n5ibytab6dCHcBYv4l2IozeXuQ2iWYsU4T+yAqH1AGaBbC
qZ2tm9hsiJxQ/eK6/ehXJTdLuBRRKKPeX7fByVXrkx15mJLQP42Yd+9NCKEXjVNWdz8/s78Nh7mB
MDDY+BhIJMcm8PbMWp3tFPgG+6DCGNm5A/1Pr/Mtw+5hlRrm7ZRDIP35If/+i+FEcE3HIe7LFsDU
3x6y1yNoek0voKt20GkqYK8xDObht28MEtb15Unj2VhEaW8PAzLcUB2W+8NMN4C9Y/9Mboz+7TX7
G3cfxTxkJWshYFCIv7vDE8xPAOZjPHvlUFyOsIrPbCl/cff96IJxHib3N1ZusVTu39/ibhflbeFq
TI4FjTNt3PVedf37v8n3h1j+hO/eI1ND1nTZSHHwmgu05XjGSUH7+SGW2vif2rzlGeJS4SO3Eej5
iBvePUPu2BqeXO60ijnfLvalR6wVMzdPf+7DeLuoCjeR57f/yWFhsiyHpg/9/tFt50W2EGfc4Ihz
9kVVdrepHiXrVloeLTv8jkRF1vdk1EbnPz/hvz/FRN0BwVoeLV5O7+8NgbdQJW6JtF+rkfaAXsim
AwDo/+Cn49MsAzxSKAzfXdc0ZFDWzdwds92gdqzrhYoAMubz758NARGOyTDBwfixvCK/u0NgyeYM
rStWGtkwSuIdIZH7rWIxNf/BgwuqklWc08Fe9e6VpFv9xOyXIy07jY8Eko+bOMTb+4sbY7ku7+5H
02ABthmG8Pp7P5zQ7Ggqm6gWh84uKwgybviRKIJ+Xtl5VdwDVShuY+EZ6DFBQd9HgxCnn1/RHzzW
y9CGV6FOmYBC9u0Vpdyoawcr0AGpTUoAUng9K9f7xVn+6CCWTrsAfuTCkXz3svWtpIbfqGDduEp8
moC9HGYrbH+xB//RUWgg2B710TKGencqtoNZR28c89BKDDFQqgI3GqJf3Bd/X4RZDL87yLt3lByK
qSlyDqK8UgtCp5r2ctS086ZP8D8ZofjFpfvBC4ubHaAe71xux/d3/JR1PNRWbR4ESPtVPDmgN5iU
MzwoLEQFuMNG5I+bPgmz319VaOF43BiUHIxd3z3SDQLnDmaOeUgnW1uBE7PoyzXpL87vB+8nyJK4
7ClR8Zq9f87oHs+R5xr2gSSrHLTe0J2syupOhaq9X/x0P7o/fPpOKFosU/DUvL3VBysxtAqE7AE0
nGBKLz9PbSfXv/08LSo8qhhrWYmXPNPv31A13lhCylz70HWmsSt9g56B64W/fyoW18q1QWKiNjfe
rfhp2LYtZHy4F0ZZBXCoxZlMwYn//Fx+8NtYOmp5zoNlk0Tkt+eizxjrYIm4B1/aF9K/BNx/rNSv
Vo6vevh378A3hzHfHqYvnERZ0dgfYts2TnZWdn9UmvS33eju8BZ5h3JWTbvJutA/YrOiP0K+x3jm
dJJJVMZIUmwavy6LtSCV4KnJVaVWzkz+jNboN0iS1/wgQSFMAbecwOJwJu4O6XhI63lorVU+GOpo
oLdjc50CDbLrsd7WM0puexzFZ6tFl6PQHdkNtNt6RM89QU1a4bK+wihoHN0Uaj3zxv42rEsAXUqv
S0bDcEJinQcnI9lh3kZxbSvCc+CFzbE6Rl3P5DE11DZFwrv3LXWT2a3ExWigSCyFLe8yNy0ea6ER
x9kX+ZUqoJ1gnG37B+KgrWs3nvHMFDTk/UaVJzFLsU4lBJzOXUYgMKGsXa9qKgv4OQ/xII65S9Se
bxq3uOpmc8NUmx5TQ7J7LUJ7VXRFd1Z5Iw21PsNRYCKVfKCPW9wDlGQ9IrEw/Ngui5S0lA26NYov
2mVVBJaPJ68o4h3XFBKAb5pQtEnnDJIW8pxNyZEU1QmJFAEXno0GkcAEhoGiEOiGlquiRxdgMqor
piHNgwRAcch6PWQUU8uHmop5WkpndJXx+dj68P2IkcJH58IW2nds6STgBKgPbB5DBc4AUyCNo1kV
B7FsMsdluxkuG8+m6YlqZVcmM7ZnGSo0y9Cja7JcP5tjBUFh2ddYX3c4JB7u52XPgXGZIUppe+vE
gfZYz9pFGsMpgq5DuYYcfA5SJLcrhfGTlCjMbtiJ+zBwZ1ttJ7fuPirTiO+0qDUfEP6hatRnPQrK
5eVmjkNyPS9voCYXuCSXt4RwsaCWYJI2g4zcKxfF2n2ht6m/tD3NeOX5oTiLcb5gJuyc8DjLrAyI
NsloGUa6v0r8xDpWeXmLFq3aKgDFCOOnNF8XhFwoLjc2yYUUj6uv1mrEDJaX669RrJfzppak0ayF
0MRNEYUiI+csl0+1yMx+53nh9Bl7XXdVJRmA9jEvsG7BOO/BFQn1R5S044EBa96u8sqJPwrNafdN
KDxSJUpdB8DmMELPTedgGHCurEJgREXrywDcMogk7xxzeiJJ3AM6NpshaSR6iSXEc2kDW3OTOisx
JSiIqsX3YhJMfBpG+sJWnrm7ehbxfGHFCPZvTWg5BrqKqZZbFkzLf1RdUR+mOmqNTebroBnmQpr1
bhqBh2erTHaEDNZo9fRLb7ku6aaerdbfJhlKibs2mvQMuSS9U1b66olOJW7fCZIk/fZD34FF7opq
2PA14tzyBVSR1MunS2McC2wsboSiilxjSRiQCzo+GRLUYGFRr0RPZnsX66/w56ZNAb48GFqTdGeN
VjFhFiYTTsPchn1LuugUzhcEQ+ALtEjBmWZB8HuKU30l7dGOV9IZxNrye/dW+eOBnr5RBS62c2QZ
RImKJLxtE4++ZKYeTeIV0dwWx0YwG6eOejFynEaqIU5TFjsA6fnObn0zGGkTb3ibFidpWsWZw21z
k1uVdnAwDGL3IXAzq2uY4CI38HVUZ71THyPJOJzND23R0Dsh1GlPnkBzUKi8PmbR4PKriuhFqDbb
eaLIH+POLi6UhXS5V/gXpQ/OnWZSv7JRiFymXuUy7u3LGxeB50VTjG0gUnve4GPApDniZ7mX2Xib
ImxeTV0qD1MPo6923eYMld3Sly2B5I2WBhkmeS6NxLqtocBtZSFV4Eoz3DphtmQzDFhCGHmuVOgH
RFH1pzpzMPuGkV5vksnu7wgsulJVs1NEgELBsBeJdRJ1l2GEINqep64Bl22tbcTQJVpXhcZbTupG
6BTuuouEvai+9H18lQ7oaOzQSFnMuo5Obete4kWUT9LDUkqoKlLFMS2e4BpXBwI/7wTqQPipWDLz
8CUzop0BYeRKQ+L3BfgOdzoo9Mpx+5UBMnilL4hjcpBe3aI7R3iuB/Wg8ctXYFC0HAX6KoSnz6pO
YG5oN4BjsiWRuHO381S2R2LoIBS1+aKLKcdgcF1EJpM9P2n83dskCedNlIl6RwN+OOGYNXUcv8Nt
ape3TscoP8P0Bus0UzD+APx6YsS4b43FddPG7cZwkT5VTj5fzF3aC/w4o70n1JnGtNJUj0mHSVgg
RCEB+9Qay0JoTg+A3FDFW+Fw4eM62zhkcGxIirU/d3XzWtWWtdZ70kBHJ7S2EYoCxBSCZnuq8ivc
Wch6u9Y8G8FUPpeAULe6ndBDlwMjHdHpcp0paDDCLe2PgGy9Q1j37mulxSwoJLAPV4Srx+DJ5vlg
ukCWqq77VBd1FNi0f8/DRJsfxqE+2QV8tcjOT1nhbuqk6ldE4sCqGevHn9djP2qTfd9lfFePhWgc
XMLaKWDDdRyt/Jeff/0Ptho6I8Olaey4DljOt3WYMKUVxjV7Udvfbjv5EeXxL4r9v58AzQi+mC6f
T/tNvNtUV6TpRK1f2wcnv9L6fmuO4heF8Y/O4fsGwfsjVBoRzl4hwCY+YmjAWPiLU/hBTfxmP/bu
ACSzW2UYsR8zyElSmrWPm//PqvvdDgJROeso6gsy2ppjnsT3kT4G6KiyX5zJ/7B3ZrtxY9m2/ZXC
fWde9g1wTgE3GL0UClmSJdkvhCRb5Gbfc5NffwZlZ6YVVsnlervAycpEwbAtBoPk5tprzTkm8wMu
6HuFt/n6giuoLvJh5Eh6L3QGR23o7UVOWnfV9chdwtbZdILufCDFvhui7BKJXfZAZHhJPLfV6csw
hG0gulR+9CIjEn6aAkn32SQKoCJuSfw0sR7D4BM5Mz5Zc7Hqqr17jIdKYZ7YFsY2kBkMwoZIHuKD
ebrnddR+EBMVjZV4LsYT/WMIPJg9W41ULKAGSKbRWiixV2DHF3n4GTuMN0/3ovqQVZ11sFOoCy6B
rNA6ZRut3Elm13GBZCaGiPdkZLF9TVBdz0x1gOVZEpEM/4K381wL+JFlKI9piTdkJWOIbXGU22iz
W+NCN8LoYoT09YlnEDc7q5ieI8OJ9OnaBl3zydLT8sFyJhVJ/tga8g65EF+SVaTWRTuhQdgMph3a
/JWqvK+D0s6/KBhYSCSzuvAZF2NRXY6MMOO+aR8jj9DrD2UPJODogjmwLxOVLfgqnbIBskdR10ze
Y6RjY68XK4C2t4OkcXHXj3odrjOk3RoIPSurHvCbOubSbBTrrmr19NLzgvww2UZ671bKxOtlLqyg
dmmPTi5zrFBuVN3xGptDfFrjWu8H5amOAkrQzg0/0pjrkKpVobhvGfksEqU3D6SYsbi7vXrn1mG9
ikQkP1SFHVNA0wvF26kmZ2bU1ktjLAyS1o3wOBQ1dDNkA1eOk41nipTGoUtD3Y/QbawNmd6jqlQ/
ACLeO4NGtTwXn5TI4xP9ZyrSXraIBRRGLdFq0GvrCn4r5SuyXEpZx9JV1vG5wMVW7HzBEu5egqSt
r1A9aneq7OOvqVWy/8g0ax8ys9/loapuw6mn/O6tnJhK8KcDIGX5iwVqfqZOnznE8h5NG9bYn5ZA
cKEpPNDMBlSBrrYibYyXx/vr+BtLFPDjmf9FrwMNzsk6Po3BqFlVbe/yChxP4yR3qKIrNoZQu94/
0psnY6FAQWHNfM09WQzH3Ey6ygvtHeSResUUAk9B4/5+Ww9nI90HOmA0Sk9bpG5pFY1WhXTAUkRx
7rd9L+6O/+Br476YR6yeqao/tbADW8hohOqCRMG5mTqC0hGQGGvqZvX3e/IOWeeaQQOHxsrpuMtT
Q5JslFzbMUYBCK/pG9oKDTENJGC+f4HeeB067gwG445j+Hl6pNCEbKRkhbrjfmlWeeXCIBw9TBRy
I2KMOkRl3lSqlq3eP+wb73kOy5iIxhEP+GkTjOfTAszUqTs2+SBKjNi7IOJGH7dDC3kgrkc6llGu
KL9dH3nzxeN/Bhoz7fR2DCJNA/WaTTu7aLLywzC1dLK1Pm3X7aCbPbF0iYrqHWLyrx6ENx45WA8q
2i/mfExaTiqzBvcuM2xcX1jxR2tTWH1ZrDO8S+u+jX9xlm90oPlOkRa5FgI+Rlmv39oA24umTAC2
20bd7EU0boBf2zCgIw39aXt8/1K+8Ygz9NJwdxDawmN+spg4AQU8nkW5UyNxYOfml1qwfP8Qb315
PxzCmvVuPwx1XK8nPHkUctd7B6XjTWG650L8/i3pzkUtM1Jd40ROzkMviV5xE5tEp8bGcZp3MbGA
vX3He/FT2wjzqZw7fv/BidEFZmrq8p95clcM0wSbN4CrWw1eqCymuW2YsMGEcZfF1+8fa/78J+8V
l149WhBHw09jzI/kD1+i5K1NVjxdGGX0iJxIMomFBasVvg0ahGQ/zK3OsoedSpB6C+83ItDg/Y/w
041JTa/aHN3kZTBrEF9/BJ3dCdB1p9vpWEEkrBGlWxe9khzCmIzDVW3W7i+O+NOdMx/RtQhYIVjb
YBDy+ohZ2nSqYQzdDld12i6J+PTWgqUHHlWlPr1/dj89CDQ7GRwQUER/n5CNk7MjT1DPo6Lvdhm7
PHesV1Y2/mIW98bpaGwuTK6jicDzVERq0L8OqTw7RDEUBS1I66hLd0Ub3r5/Kj8tz5wKklgTZCSn
pJ6uVpXa9anm1N0uki5NtuYYNOWCDgTSTkjLXfKLQLc3TguNEW9wRsNIhX6a/hVVqXWxOuzSVhCr
NvUVD2EN03r63XIEhQWnBmOAPaxhn86Soqgi5TEah51GqgCOYG2Mt4Ywvd99fc+bV4TFQNCp3+iY
v77rmOPHIO6tfhc1XSn8MiP2aTHYVnHH3IdUgfcvFtJpft6PjzZn5Nrc52ydaZ7zi9fHKwoMY3Gk
RjtXx6GDYXPI7GUrivHY4DP6iGrepDFK0u1yMKqJ4OC6z2/yShlXNWkXXzpAkPH5SM6dBirQmraK
bmP1qOeWkV/QwoesqA4OcYsOeAFMvSLDOOJq0c7qMJIcJWiVGh/ENNw2tpFcjY4KYR7JsN1bZ6WY
3MPEPXMZsW1YmFXJd6HGRNtibkDCoRi6YpMqbd8lzYipM09GY+E4imUtUPgg7wkcezh4QdLshsEZ
EZXE+Rm6W7lOo1RfTAZgBQtwH0y6HvOvziSCiVRIrzBob71YKZf2gPO17jzBZ+zT2m/ZBy80xYrX
jqTZ3boF1hlzwic3YP7ZunY9hyv32tCnGxTscHElm9JtrY5Wdu6YwmWgQmo3z4jyFVXPuG8atGN4
0DHf1WB+rvA6lytZtNYxGxvjsjGi8LoaRly2dbIWorQWWj4h5+1jrTjCOLR8tyO802pt6y5XiPTu
DRfGNuCkNZkPuF5VkrBLNWrXRuheR5abM7L5nMfjWe+1D0WrbboIKbmOF/mijB/7vr4CP+SeE6uh
EWs0IbmN4+YqAq7hRwVfHAIJIiZmZWgxmMoWtJ540CoLll6K5rNz+n2r5ODeOnERQXhfzE6By57k
XIdB0I5edOKrrZ3eAmgvggXjo2o3OXOg71g2/aoMYf4AHszv45GcCJUEc7a2QLVxMy6sycuhOYri
WDkVk6bQekJ7Iq8KYG3PLNTdRdMy51pjGWtgiiMtn3Zup5khtj+UtV9SwkbvUxO6JEZvSlqQ+r11
UU4lTDcHW4+88yaJTdPL1PJhRBmM8zIzp2tSHdmLjyW4RB+cbPVJmzfr7rxtJwXCfiTYDXTsy64+
nDf4fZQ0ws/IgfBzrbWooFTA+nNTQJ/bA4ah0ChIdfa8updd62C7wc/NLQVrbi6kc5vBmRsO3Uvv
gcCT8LOVueEVKhjzgIyeMUI1MBzohhA9NR4wBFruTZXM85i5waG/9DqcUIbadsATthcvLRELv6a6
aFIluRpeGidEYNFEgTBIQyV5aa6YTCmaFR1SyLV8lTFU14nc2kVpWM2+CQihQxft8XXqMbMCZ5pW
iekGH/Kynu7pR5tfu8LutsxrwPDCbDR9oyRnB7ymnvEgdHAjR2+iZeoKQh0Qf+e3thUnhylMTO4W
u7sKY8+77xpDuxGZqayrOgivJiVhTmKodX49dVVyo00TV7cS9LMJs1X3tjugyK5MElCAJjjnUZL2
JErSCVy5LZOGCBEe7vWh2ikkRNXQPM32mreFcw/S49mc+23LwqEDxms+f4hMd4BhEpPIkYzyc22M
dbQIZFdh4ANi8dCoUX+tEQBzH0jHRl+e9QHJao3ugqJw+mmLvdf4PCWVuqSVrXwiazS+ElrgPZRN
JW80U+bnMfKSZCFzvWGakWvW1ozVngwFNQWuPqdJEf022U/46UGKKx2ZGYacdLmyugSQJfCQcICB
1Y6fCZxRLga1zIxFHsSAVymOkjMF//3BJNqJmAm9/6LC8RQ8dI17R9hfDZHE0xXjrEj0sF0IXQ3v
SYolRohht8j8kih1jKOOqn8ilju7tihsd0MQGL4ZVkBYms5Ulo0Z5J5vecxvFkPvNXtWvaZbqmMv
oXUEFcwAiy3ZZ9ixpHJK7FiPY1yQZpdBdjiU8dQuKj0g2ztNnGYivJrxglYm4dnIiLhcGxjyv4RR
q5EpbXf7KNbrZOMY+kQKeqQDjoVJtYXoo3zMGyu6bO3cfSyk1l73Gv1xqaFG44omEli+F/IUZkUM
/REgR2X6dZjbNIlKbScMtFOLRGYEF7BzBBgN9yi8bC0PJbsqlOMYS1Z7R8WEvZBTqjy3kFIg0mDs
TXFzqtbF5AmbIWNq9Acsv+QdEGT0GCrN2Ky556uvYxuChqhstvuFqML7XAqKSMg84a5jSvmsi75f
guVIKyauwMiWlXAkGT19AtU+TqpbLYsnooxz6u2UsJ9iwVsUVGbijmCglUYmS9IA2rOmjr1j7Abe
Fd9PfjG0GrMqu6k/ZdWA/zOYvei44/QSOlAFup4EH6zMbgvqGf+mtdLCQe5qUxk2RsYSsIzRSsQ+
yj7ux5gMvKNpluLYCR0qhGI07mIAXL2tc9I8/NRJe2wNtHtpr8GVLZZ53Xq3KbS1DKy181EDA/LI
9NMo8PgAIyJXYoSOlwWivqhHOWo+EGlJc3K411X1ulfaigjqqhKrDsDEsUtVtbjsExlt+0m3HrDs
OPwW2qULASZtV1lDsiql3tx3ldE8y1B1wb8NhXtdqPRmUcyEtyPBVXgce6C3WZ1FvU/wcXQWElKQ
rBmfKQcALbq17kol30W4w30Qs2Q69La+H3OjrfeJSKHmQgjuyeyp3eGCbIP66BAvBFavmq5sQaeZ
9Lhm59i9+4ldlLyuddORSw3G044Bqx2uNVAiu5wpVb3Gh5RRDHN3+rpOk/xYaSSGLVWU+/7k9uNG
rQbjoR/zmjBFtbhQtTkPx3PGOQrRHDym0KSNrqKGAOWFVynyUqkHJhKpNTw5oEi/hCWxEYCuAQAu
RdfPcy7WiQeG4D2Gm7wlX8GyMZPmCtBkcE9IN8N4vA2BymnoWxRPLDwP7u3CKKMBVlFPKxbhZTaC
NewnA2iVW+3iqWtvTCuNtaUJcoDaLDXycBMqWEM0zawOrmLKTVrRS+3cTt6XhREkQCWJCp+FJayb
pVBHY8mCbpxVrWyzyzKpKQN65udiIytzpMAAQjRn/5R4tSO60YYoweGpqUfUR9WGT1M9GWeNC7pl
5VYSkBHg54SM7dqtz5oYuBOWm2Ac9zO+DkwDATfRCnrB+LkkS9hXuzj7KCuv+molg7tTUTLcWcSL
3aJo6MZFr0MqHFRF2xWa2W5sGyHRmIPhBrjVPSfaMDJHN0xiwMEZpNKvGjLiycJq0BdZyoZ3UkWu
OQEgvcoIN9MdxAHhmJCWHjrWkwmXpFvYXmndTEAIVvkclRwSc+SQvbMe09RY5Y03XfdyVC/SAREO
YYkFiUeNHH0h4+Kqsb3gqZhKHQxSXV2nKgGeS2zu3RpYt8KUuTXE1UQ0xrqBgX9nekp/gQ5J3pBX
ne8YOM8mK6VQj8IZ3KWXl8GhSVVr3/PA34ztLH5SUkSIjoRbIGT+XLhOfrRoiZM5OVEKx+ZeE42x
k1rQ3odtb55lNiHUzkRwCtOObteFM7iwNfKNnpCT61jXFOX1h8GRoBbC0DyPOqPYJrawP6lcucfA
mGk+PQFePb7sZTBpyTk8HXHZOCPgd8+k0QZlC24C6oQm0MNn14w+BlJJt6ZVrjIyVDcUd4NfMJ1e
jYZVn7dl+4nUu3xTJc2w8SKPIUJRJUvk3NSnk3vnsWAd8qgcdlYjnjQHVDYahwQOaFwCgLQWg6V3
ez0KxNYO2xRQGrm3bc5MKtRkSrzWwMzDRHzkwQqa6fTNtkjMdtvGsbOEcxSvOZ8GC7uJGdHbgKr0
/Pf3cT9tuiGa/NjlOtk10t8OzKZNaEBZIEBSFSsq+St98e0w//eVGaB5ces8FeVYC16yJ7/857/H
SLwpMv79r/kn//WT/vn6l/zg7wee7UuvfrF68UF96L7W49VX8K3tnwai+U/+u7/5nSpzM5Zf//v/
PHzJgJGhgKvFU3sCnIEs49Fu+tegmoPAGfCQvf3XvnuojD/AwOgWMiRmLzQp/sIjQrOhWcwh6Kq+
0IT/ZAab/A1E8/xjwAd2LHbef0JqtD/mhrrFuICQc5PO4u84qGhBnuzxZ72yCiHKNgDxEwh60gM1
6A8WWhH0266pogNxRR54lUa7StlYhzWSiQAQvu2clRr5aVOdExvIpJBVrAJ6T/9+iknhmkzn2tXa
g25QY9V1/7mf5IjM6qC4ZPsUeaegujCeG3Jrj5ZN+imcdq+87NxpBKA6pZ+dRjw0hqKtRzos95GN
MCZ3wjnwABurICGZWepj5Q0kQXXyEQxfGKIps+yrKq4KyB9Bsayy+yZsL3O7axZAu0O2Yzr0iGQV
tYxwF3liPwPhCHbksqV3BDGpREcO2YXLGFSO0a6sen09mcN10xgHw0sW4B5WGow7ymAmmlUun+1c
A5xRonaLhvI+UFgvzWQg8qBV2f1njjgPyulM6slZTujxami7hwyq2LKQaHfY7Bkrx2qjpQ56cgEc
5r5UnOGyaGCnqKLKlgGJcAsayQ23KmBYP1X74jHptG6D9Onc6ZMzJ/eWetDw9jPsCiJ9QfQaErSz
jrynQuB+rWIR+ZPtXBGR2yMNzUieCON2i/HdXPSVVd+60aWtJzeSka+Pbn1BX+vSLIYP1F1LAG13
rQs4OlG0+hCnnthD9n/OsmypFeY6Vadb6qdtr5NG3UbDoum1hLikAgiuJ9sAhLwC5Y0qIzVdCgcq
rmOdPoRV9GT3JjQHKgZSzY4xXffLuJo+cK3DhQl7f13qg3OO9iZeF46E+WVCtZ0C8LsYu1dCq3fs
m3a1S2NB1KhllJjrbYyiJ5Ekwl089SRVoRz0hRVp2JIbG7JdtgijyFuljUV7yuGPDTJg/IIc9kOX
hJ/LmvdATYZG36k40rtP1ZjcJaOTbdqSA9vKIouhNDpCvxpN5cpzw53MtGrFOw5hDtFU0iQqqzIL
fdFnrbVP81b1wWWuiZQiXVzT02UMSKbEH8em1+nZLdPpUuBp75l2RxeBB7pt1J3gPLXRS+mx8lFn
RC3ZH6xcuB4+nt7CL8P60YQJ72tG8bGP0bxF7fDJSerhKz2HfIH49isxEudVo585ZKBfT+zEF9Lj
laygK/JTQulWvax2LfqtFduzS9G3yTlarwtTZdqMN+hLjq1wgzUeiVfVLRBNPld98kGZEuqueugA
KuV+RQjpAqll61PxVgtMTvGWHnhMBOwcLw6GsnTWaWF/SarqjtjvK9hSeMI7pQHlG7drNsraoa7o
axCzmu1dEa16fg4RwItM63aacy4pHIVbp6tm8DKgRc6qcNQjgB3us5qtkW/V3r0by+VYdD5A4MsJ
qnijKe0Wnekd1GVPZMpjVOh6szC9WrvM8pGN4cSFjxRCu3i7ll1xxGO2j9JnC/mc2XarifTYo6LS
BEAwSP4r5fMKehNjGj14GOLL1ht3naZuaxQQhzDXtYVVOleC7RY84/oxm4LoXNj9uG6ZH2OIJhB0
j0iDpZKYB/E1lOhKinrVcTcitdX9shxumZGvnF7x9fBgREq1BnMN2ab2C/Im2IMfuQkN8OjNQrGm
20lO7lVFVF0SRTwOYqWo3ZVpyWwXDurVQJcGg7e4zkiawUMT8dSBme6aaMU2zoaCl1BeOLVfN467
Jqr6uYyJrnfN9sHIPOWMPiikgowIiGZAF3BFO3UX5gS+y8DeF3V3HxajST9hRiG2L1REqLnqpphR
iVUDRpCtutbcDjUoRfeFqjjCX7gbLQfWYjZjFwURagyFZhgjGtJwOWUEq+jACkABAG1MZ3wj7FUy
4WekY8mjth0VDHEbk7FmsS0ALdCwpRe5RinrsF9pX340A/KMfHRaOnxUAApIpfMo8mHPp5dqDX7C
5+nV440aeqHG/lnJwUeSBUJz1Eg9wkGYjVfrThOZ58MaSgy/z1BTA/oJLtngTtvG69yVhazxkfjs
jJzBsSbvs7ox8uLMImNtS/E5XQ5zlI6d5Gy+FbroB6PzvBVUfY23xpzK4w62cg7FKgSFk4ibsNed
B0NpEjEjxki3DluPzHQt6zbp6Jofhy6wNn1XBhdhN4oNq8a91xtZQf+0IcVOraw1r2s64Gr9kHuD
dUlw7NiezwDvniz0sVyZdufeuzTfFrkq7K3Uic9gMUrEfZ/DAYCSXiKD70S67Qj3OZY5k7EmGYzP
VjW6SwPtM8JTDGO70LBSuhfw8z6qRMeBSML6uy2JODqkXvHFTOLyJtHJ2muSwrmgR0VmlayVHQDz
6aGwcQhAFcsKf0g/WYlJbIiGfFYrdJgD+bPsKbNTen5AAtoUMQ1zKRSeofKFLzy9Hio2DD7jj2YV
K/12NAtvZXdmxc1dgaeaqWEN+b8fPYS9WhBRhufI3wtFE0szAruxtI0gf6TpQrqTbBza50aOIdzH
3KAfnTYuHyBQYBhMm+ZGz6yANqfFPZ9kgX2p6WF6JF1X6iTQbNJZlUGAuXVHFHvkSxlnnyvIXysn
5emqDVgiS17Q3TVzDR/tPq0Zkur6Y6gGVxrsp0VhpGXNjWpMl7JINO1o9zn9ISMnnLguktVLaRSN
I2Eyaf+lZG5RSSE3rghBBdayui1JnFpVDm4OYtvZ2PAK8L04vH8pWX+rdn+7Kn9Vo/975f3/X0F4
UB5N5l7/usD3IzCUInyoo5Ma//vf/FbjOzYQIYyGpvOtlp8T776V+fwOZja6U/bs/H2p/79X+Yb6
B2gAFYICqR1zgh6T3+9VPr8FLx2ogQ0lQbNxg/5Olf8yqPt7kDfzMRlPqg6bhjkixDwdHHaR7QAn
nIH/Q43ZF53RfeVo4cHViQyh51vLT62iPgaJVn91ayP/PMz6f7uPom5lNkPB+4q3mAMB5r7W+mLf
Z2W41FyRfrHSsPsmM/nfm/EXu02saBZ79399J16LJBGvdprf/8q3W9B1IZu+COJs9EDfcPvfbkF+
5wVKpf5E6nD/0PCycFu68B0stqN/3YG688dMekLBxe3DMg9L68+N9uW3W+vb5j/8Wnz/9Y/sKO21
SgQlCvtZ7ODzHW1iKrVOmhCBAVkdS6e+NftI2U/1wMakEAeTvvPekSzktIxKlu+mWBHULT+KIWE0
p+XeoiL3bql5s19O792nGEPNMmipwvKsk/hWyvaQMRL7xUSfx/WH0ffPn5cv5kdVi4WwqRXuCKhQ
pAOvIAq4EtwCgM1gqZZqudCJ1zgwDQw2P1zSN74p40XY9PfD+vOhZz3ID4Ka0jazsi6NcStCZKST
bGNClit3PVWyWMWdUiwnD/tEpwEuTHQL7AIZK3blQXJ3vNCPS6vejlNuwfmh7VsA2V84dXREmoRA
puTbsw15TI0gPARtR6/QAXKe1Lm6bSZxVfbxqk7Fx4Q6kYCTSinrRcno8T4RykjycUXQSxFlxSZq
s+66N9TwPKG2BILOrDEtqe0zTy0OFmPxQ51Pw6eoG9qlppTFOfRRfYWDsVrXJQGE+dPYR+oupSms
tDN01Yv6ZTho6kdzIDXI6fNhkxqpy4AtFIhVu6e49lAVARwnKUhY6gYhX7yeihytdMhEoI4skk/0
+KNlB8duZE8bl/WuGZZDqtybTe6dtegn9mPs3TUTWFvLK8/q0VSXY2Tr5/EUHtjp8l4O8Ru7Y1xT
oYqNMVAw9a7z0GZARXv8Gwvdi/dGzyxa78ejxBWxJoaxXeEcNHwikjAzwlrAQRXoyyAVF0UwGWtZ
s4cIixvm4HtizYNlWEPjLKEsKqFfxNXe1rBChoZarWNasEug1s1aMKHbFLFrrvQBp1Eux4TMHJUU
gLhk4ijKdgfzQP08hDUpTiFOwIWltSPIRAE9yzP2PDULoXRnUBtRSLh6T26BvJG90n+QmWyXMjPV
RYm/MDSHcqtGFIi5HFaiDhkioHFYRMTaHL0uNFa9YaTnXkRoRRJr8NTsYOfmtrppQZnvaAi7vqsD
/EZ7XfqxsC3fQ6Gy7KUx3Siy2kObX0Hj6QmCzHDg18YyjUS6Ei13s2QuvsY9VjAI8IBKJt14hgkR
1qtoxUbts0fTyW/apGVip1sb3F8LD4ucqno4JwF86ynfpUV42gL3zdY28LsBUGAv5eiGn+oIMdOO
HGpstxg3ra3F1WQzFmxs6zbPGwxVxujioiExCs9XjNRfcf0gjZc4CIC7Oy4Y+XS4YjyqnikhOgYb
RSl8ShyIRdk6ZyPI3+vYwO07OmDPB/M6KSy5TKD1+9nIVD3p4gvblUy9I4fWcNGhUIlhP4+KvlGG
eoPgXaFwD686HSCWlXlnoZXs0KhcCZpTi2qUN60UZxaKn7aNLvpKK7cFsPTB6VeyuZ3S6ojkofEd
doakKbsfyf0Sa9LGVggwHhLBaNUO60OdUHxn+U2j1Ctdeusqyp5ULV+1E/qd1IHXVukNWyjDvMC/
hOELRKaIqw9iwNBXa0cJxj0Ocv2Q2ZgoyLwfnXUY2HlBkVs0j5quWXzvuXpNC2Pd6Kl+pTRquA7A
s/Fs9/Kp10HhqXlts5mQhvcQAW9eqJzWTk5oPfzUI6UXpYaxCKoS6jIDUj9Fh+bTScq3dSlyMmZ1
YkO6ZnauJtYHl/Q8MrGS6RBjsNymShjt2UfWy8RUP2YC7iir33A2qkN3U3u02qeWDpARKuqGLMJm
C69fjIshd9RzzZHkxFZdfVXBLLskp7PcikInVXGI+YNxEcGFNyLUM7V6blfBsWRsVOsG7mw7uRnz
uN0nDFS4Bc3bbpyiVV06iZ+OIVY5nRR2RS/rC50Oja+6QbRszZSo83ogKjFhs+Y1jdgxSEkXMdbx
jRKiQnXUPmCxa6z7LFf2TjCx3mEiRykXb/MBQjdSjmlbDw6J91rx7JC8qbaYZuj36j5T4oQ9rPhk
KDVGQxFg2zboIkUB5opGAjfqI/q6SowUnISlC0C0V794j+k/v0FdNIsmfCD8c4TfvX6NsSEnELwB
9csTTOdLNXVlTprErJw6TD5qR1kCbUyu26kkZYqx/AWBroSF9Z56RoRrdeYNLb3jpri3RVx/SECO
M9CuWflCLc8vsLsE20RDPRP3abgVQZuTwCNRe04jC0Ou7usKi51TQh6EarhQ2qbwGfB+4HMoKyY1
D++f72ut4ctb+9XpnihCYzNN9SKxtC0cwOCKlhWpkKPLdNTF6vL+oV7LXb8fCrUmadwU8y4TgFcF
gjbgRmKeo2GAcp5bJ8WEapFd4A4M8q3y/v2DvbAWTsoR1/7haPN46YdyRBFB1ssi1reW6C+nzjLu
jCzqdvEQftEEuMnKBvzdgZvcu60+bVtFGks9QYzmMg87eHG3jbmSy4ZbE1uSXMdN1+5pdBh+KLts
KQSXEO60uoza2Foy8M4vVbxP+O5r6adS46ch0WDPrADC5EVdza9sLNa/pa389qUCG2HYAhOEovdk
DqIpZqQpSaNtC6/4AJ7c3iKvWHQisn5xoJNYgJ+PdFIKk9ybRyqWx20fdsh7Au+rNsFGTOeeP1OK
R5sgPcbuKLaQDdKqcgjbef+azpfs5JJS8WtgPHSk2zx5ry9pkg22ilpB29qVRXNubl5khp5Qutlz
g1ihwd9VBDC+f9S3TvzVYU9qar0tWNyKwdgqpsUyUFtfnETjzYxSnb6+quzzUV4ESkN4z1zlOEOb
/OLE3/wIXGTICJrLhts7WZRSVZNNSY406lymsQ2vRGQqB0TEAaGrL8wM+wgCl3rTsD+z6lfr97+D
Nx5dqIh/H/9klegGrynAmZrbNu0+G42QgFYDY5+BnCCfOTx//2jzTuH0OjNFtGaclG7x/6+vMy5D
pW5poW4to4nPSZgAstsE7er9o7yx8vF9/n2Uk3NqDNUgNw1TWdZKbTFwgqjhzBVWs/IXl++t85lP
ZXagsFv9aeErvS4n81fdTiSQsjmhbcxD+4vTefMe+fEoJwsem4+uDdLa5NEsna9iaI8xPSQEPm6A
rbczrpOwRbwLtDQ6InBmH1C25S8E+W/sl02V2TPPJ00lHMsniwQG0qECa29sO4ech2mo+5sSn8dO
CGlsS0N+LEovWYZ9CIC4hzELFqLynSpVF06mPKCCQvdUKLwaKC3ysyTM7uzaSC81od/GcBR/sVs2
fr4ySDg9CxcUY2l65yf3AKzBJMimmo9GtiVZHqCNI1Vsigm5ga1MB+nZRGp1KlPmSGKDF2SoGtQi
QoI8tuaI8j7jvYF+fEeNGqziQltmJRuaBoHYgh3EM5OTcIdym/rNMM80h26oyBz2ZqNrI0wUKJmn
gsKqxJ7Xp191oWrImqrMVxk+njdN862++d8u1S+6VHQskWexdP/rPtX/y788ZA/5P+ib/uNCPBWP
D/U/ds2c5tP82EL96yf9pZJ44SLaOERIFIPK9WcH1dP/ABAHdg8cqA1OdbaNfG+hahDfcfwQMwn6
D93pTIj93kKl7WoBc0H7gu6eJqut/VYD6/U7E58u0E7EGAbWFVAClHqv19KmqcD0CFlviBkxFrGV
PealiwzIcZpFFNREcU3pM+tC6U8ezAetmfEkiuZXvboYRTGr3PJmGciBeO9BEBnMQ/vDl/xG5+hk
4Xr5iLgQCTzC6kJT2Tv5iPQkLLSAYb1xMc4TX27qK1YFg32nd45m8sE05IWNFLcJmZEmNtP0/+gD
mIan81WR+3mycuq8zd0B08YmQEpAjrBEg6Ax3zFEsIqqUvc70hyZkFD/EduCK57P8f5HeP0u+vYV
0Gef7TF0uhFpnVwlU+h1mqXVpu7gSxEGcNNFULar/Fdv1vkH/f1q/fNAuILVueOvn7re7CloGLgV
1SYv+mLbMshbO215X1SZt/YI9PVHOyiojWlb9sPg+UReE2kk9Q8WTc3zjOCKlaEYwUMDQ3dVS10l
GIYt+PxckLckkXbmxbiBz5SslJJtUZKYDltNomtqFJsrtjXkCnT6ZaVEKfcfX+RY2Z+aoNmpdQMX
XVTBPswBbbHxJBnSmqLDSALGYHK3ZtNNgSxpbcpBXsgmedaMCbpQnz7mSuYSRxRcTK73lVbNlTE5
d+9fobnmeP3F8UhgKWKkYc67l/kK/rCdcKZcTaEJlxuL8LaVkOOnOAiWrlm3fqDrglkzzSen6r1f
VF4nQqf/oe5MluNGtjT9Kv0CSMM8bHoRQABBMjhJFJPSBiYqRcyAwzHj6ftDKKuuGNQVO2tR1W1W
ZZbXJAUm9+Nn+Ifti6Fzib4IWDh0Jwkjry9cCc8RHU2AyMX4FPR/mV847tofdF2gJ2F0wG6cdfQR
nLeuqoUNXeOw5DtuzQctMcws0yQcXBTxLYc9BWm8CLyYzmfTTktU5kwst958QRpX6++kJLr+5qWZ
NoKI8NyxJ6MYO1vW6gAbZXFSlLE0bEJbSExXyUmXf/Q+0Ihq9oXTl1Ef99UN4vYXo6FdbP3zoaQB
GFf2xY8AZM5hYx1RYMHQs6PN4ik8tLPwNHZpZD69um//9FubWKkh8onyJhOAczZ2rwOUkBiOR5Mi
DezhCQpQKYsfL1rawkPvAwcABV2F9/bnL16YbgLdQ6tQUzFfe/2xBwx56YDKMorHTvgjxkI7L+u7
f5SPnpYUzRRmGqD38H63z2rGuoRcobRlGaWLU0eObItLGafP77xEc/uZ11sG+QH0Ixk4ogYFGfr1
wzSVRIOLLgfN7fIldmKJ6FqHPH9SG90ObQWeDXm+IB77fl9rK3WcVb5oUPDvxZrvrXpIOXeQ5dfM
0fPBKin7dE1U8Dss8iKfdJ/aK2NGjuOhrSwhWq03WIzLi2wa3KCYN0aZttmGQr3Yg3XX9+jSRepM
fLO0WfcxhFP2TcZf61JLOzJVqnc5yHy2B//ebF087Fdl3ukr/9XOs3I4WaMIUCAhyMB6h5ecGYLb
eZx7F+yeoCsW9zngmuzZyo37CoL0ZSxyb2diwCB1YCHdkHqITtWYzHuqPyD8A/goe8Fi1AXBTsyl
/4thB7JkO1djfddwcPxRlM/2yBo0i+QT06YVmTrvIWVx+AqYKNUx7uvMUw5TOup7Q++fNADW/rRF
72Upuj/FbAEtUqQbILKm+yg24tns5eZXTV0Iy7pDGxXDhC4BwWbg5+sndtn6mQ6lTm4iY0Olfxgp
f3d5tnIQr7YCjCB/0VIeekx63Fgr7jfp+w/A0r7bBafnRNM9mSba5i6BexpEty84QIJ8XnuaWcqT
o6IfaMbS89HBcQNwWbE/mB2+xATaqLCyZ+ZPIBRbG0BYxwlcog9D97s6WqX4mGveAzCeim0o+6CI
3TQi+TE4WEbTLw0+Td1J+AurirjecEuCEcVO/SzVjrnKIEAcOWW392aMbrATE75scxtnTTts2/Kl
9qTOWGoEvD9erVXxgs+HBx5j6YLE5EG7qQI8bVzHBivQrUc30FXnpogbBHpazoDCwJREh+EQxIJ1
3mxH5tKQXxUal1rG4gW3FVYsX3ZxkpeTHin2HdbjWPQ5XxyrEx0R6mCOk5dmGx/WKdFahYwfKGlz
nB3g7WnBSY2wzbPRVOXtwLCeobfifqR9Ha55+gx0tjkgxSev7Nh5wI6WZyQ9Pdo5vi2nD0NmcNPZ
sseAkMPjtHaXiWWjCiBOeNX2O5Fmz25Mzmglxr3hll7UL+Wzi23WrmCFazTMdqeFK1fuO65n6KNm
vdcqG2tr9wG3rYXhqFr82AIVK0zTjHvAzOh2jCSfDF/W63rmYw2A7QGO8XtNJQzsyVhB8JjqHbw0
bLuGhnGTPqZHOAvKHvFDGMQuixaDrufTjXO7ZDGU2GEOSyOiLJVXujV0f+Ji44VDrxKvBZMDFArF
deN57T4b+XbO4hX7tXUuNBtaplXRooe0A0VoHo8YRTORLOIcSR+8RioCmNJtAcvBhGblOVi6xY8P
jI3tvV62T41gX9kzADNcLhkF5M+ncDE4xUs/k0e7I5GgzhMu0Nndrt88ZIS9QMXVegxjJl4ixQD5
0Eo+RZbs7Ea6srT+sGBuXEhRLVGJQFXs7VU8WXpzPJ1OaKM0eIbxBizNjC91O39Z1Di+03P0NEiS
/MxeYTx0tQixz8bv0furLgkmBkPpANgeQMcu+4SPHyFP4XdHYi3gNl7IbEXSKbFoLE/hbKl5EWlp
35yC0mARXgDaP2FxxME42Dd6Q1u/La176p06yjS2CnpLz4uSYfsD64CBBx/3VE3g4j5ifWYo++3Y
sQFinZ5wWoqXbUu0mXW/HQWIGNzDcyBubd9A6N4NUEmM22rI2MV0xKMC1/F6WzaQGHexblX7RpNP
KhZ1R0vieSOSkrY6S0WqLMZTpHNNgonFGK5ZLCIqrKA90WS67Vw4xRiYonnFzmTCsPKvXFB9ZdHF
l/32dSA9ZWgXNmiI1mpg5ezDWazz5SkSZ/OWiNlJGUzwQNnBpFnIdj84qNmuwF1rmztxZygr/Cko
6803cxBh1gzoqxQV41ZPhb1hCY6fDoVi1jA/v50rRsFNdVvyXNjWvSbj/ZIWS2TEm4X3wovcVhho
SxJkQZpOpAnHlfc1NSw66RF4SsGyqja3HgSn6sjwSCi2r9vl8imDEL9zoIv6VEGwSRJ+sB2pCk7x
t9yiY9ym+DUVGng3r2kOLUxYbAOzZ+lxAYxTN3ckNpCzFkfb5q51HBuZ5mtFcEqHhywv98Mki2sl
LpdPKIE1B6didxspyZU6F8+ntVL31XPupi/Ytj/Ear5wYAC0HUde9XbaxB5xsejZArHsi2toqkVg
K7a6M0dY72aPzLalQ4gcMA0MoawC0LZldjNlvFUGPeTn8IWwcE4PpWg48Ja+vSFKtlcZMlsX5oQr
UWdV9m5GVzkYtBVG4zC5+6YBdJkjH85AZ8JGMU4tBuJiTZ5TZ8a9ykA8MRw1AYzRzbrIc1JSjTl7
adrmKZZ1H85UVt8Ur1g/GnheXql1MQeJ6D/mdZtE1DkZwHhNe2JoAmSiWmoyYiML0gHNGMNYEdgq
2xAhDU7aJtlSAzE2F9JC6VYbqt6f1kX3zYmZfrG0zYW7FXBFutkJrPLG0FIzdMwZ4zIveR6Ucg5y
R+98Wl6Gr08rfM5JXa9WyXYSNcF+K/MaRxRBiiltwPHehZY1pQdPqdqbzCoLRst5hj5tiamWWal+
N2AYNpeJSY4CwjGtcBurF97YqMvv+UrC1o8WnIm2Lg9qDHiCfuRF77VPpVc5OybtK7BW1AxGo0Fq
1zW6SGgS2hk2U1w+58d6fszUBn4bKuou07QhlAOg9Wb8kpTJ9L2APHuoWjcOQMmn8A7tb8wd8LBb
vg0zyTP0cIKWonboNoyo9bd96bMawMQWQBmRZsHbCQC1Sg2X2Ts9o8efY1MGrFjdj3DTSJ7vFDA/
9KNJE1UQBxCM9m7CN03Sa6bgV1gYYy01Tp80dbqUSOnt3KyCn+Ap34XN4nMmsPr6rOl7zHW/Wj1R
NwcXfdGv5n0CoXaXM5iVilHg/kDIVPOhC2SmKYcWM8sA3WB27Vb5rAWSBupKWMqG7EWbGy9MU/In
LSbSACJePhm92W5feAW8yglk1nb8MuVK4+uaWz7W7WBemav6NKJfwnvpnuqYFkdVtPIbdu4m4a0G
V247fVQ0JMHp3K5YD5ExqdRwgOgVncC1xXFTKY6bz1ibEBxUzer3yggDbBCSf7VV9ABUCAcG29QV
JDJY7t4bswsxus5ALVSs22ZbohTMEYSJZ28c3Kiox/vUZcXEHhRqpR4JmhwF232OmKppdB+iztYo
Czmtdx5p9qClzyipPqmoCvqjpd5365zvelC//pR28+XJuDBTnYFJVHJXl9NRLNoXCsg2VEcLHqWq
y0+DUnzOOdM25cZWX7zLCQUzbKIh8OcTd+OSVe06rye73sLp2lfrNap+RTC6vQgny33A1OwZkO6R
BGO+W51ZkgUa10KS1yiad9QAlVA3umAg9Al1WNi7nj7tRx1/RbQFedZM2jfmlKd3qtTEZ2yk1aAm
Td5v3m+lyQoTKLIfEMRoSLB4p1W5zRwRn3psjFpeJUo2PVStoqK6zHLTt+ZVlgBIKLBkXlziWtyR
5xTIF90oiIts3MwtSFdUK+MoyL27HhzCRI6pQyHH2hp2CFKDhzLRolgdugvNw/tOSV8STnspOYe6
GnF7g/s8nej9TBG2pTvttlYTlslNbAI3SsgJKK71fW4syl7hhnfmdmbWS1PCHKJqWWcaRFhWF8GQ
yKem4ugZp2G6TQRbirkQHxuR9QiwV3y50JlEd6Ocbwu7Lz60w4gahartlQR7QdSwyO6o6PenU47Z
UX3MRkz8QGa4ATKH2jERXKbUWcNzaqxfKny9/5LZ7Pl0LRC/9AaQP82Q+IPCavKWOP6K/hO/IqsX
BMjV5yoe6yNCIc+n1U+9ue+dPLukWH2hCcFTlfYHd84iyFv3NSOWQxdzcuVC+b41qixzbQ9D4o3X
VssXwSiFM3Cz/Ruwq/Y7ciiCQiLupVdDhu49pGU0Jfd1hN6XjDBGM7LYV45u+4XVX+IWjpOuEFeL
jlqF2XL5pXTJV00SrEzRb2HPAP03nWmnpJMWAFDzQlY7R9zAJxpr8/509noz+zQ144ffF/5bj+K8
7LdxNnMM1F4c0JOvy/5BH1SRNrgJmNtr2koqs+ehHVg4e2mZ9xl2zO+1T1/PcX50NJBKQl8I9Ahg
4bOJ4ZiPzgjXGwcDmAFBYdAjtvr+qRX0IXO1WsNV0TCOxBsX//ASdwG9Gohu4tFq/3Rb8aC6mUbY
oLbeMpvBUZU91iwPxZjcqfoMEL9ylAOALTSn4U74Yhrv7GpzGnB7cu4++XTqnZ7KMiRy/sr6Kn2x
5370EbG514q1DiYF6QfdXrBhEHN1nBWNHHLc8mCHsquHMEaJhqq50lukewpToFPdN2gGlvPuX7kS
y6sa2VckK7bEM91MLymzAytx4wsQ+u/Jbmq/6t4A+1YB127SxufyXXmZIeLA5ozijjLWdab4ssOE
9AAN74hPtPWYnWI9owMf5NtWmJGn/n4lve25mi6yVI5tagbjm/P2oeG6rZXpxQCjpDPhx63poZOk
ZqndbjqqufRTG8bZiJXeOx0y7RedSzoGjNoN+KU67avXi5hgog1Z4SHk36KHYHGOBCgZax+yya4C
cxXiywDYZ487ATgyK79rxmr86Ak9WoxZe/r9a3jbs0dLHUdwjIBoP/8A3v7UejZg6FFuxkPUxYa7
L2G8oKbPf2ll8zB3cuMQKlNQT7IEejtWh99f/RdbizkBN8CQ9DTKev0mKp7Q6DHSjFq8FIAHmp2P
3kP3zhDoF0GDLjP6DBZk3rdjKk5THRS2hdKflpn+gOJ5IPP5C1avN51Xfl76MnvnitqvHmxjNrj0
tzXmPtsS+Om1trVMSEuqPkqyvLsCh4UUXm/KC/YnrZzJfUg5PndCpXu2mbdWc7lE46yJ3ZzgilCO
2V9r+fj7d/0aZnEKY8z78GJSN5DHm9ApFLxXPVWw4Iv8SyOs5fuP5LfIyfHKuX1HZ+7Mh3K7HuRu
ByIJaHpvG0S+fgWD7ih2XBcdxB3nRuq6h+2FVe+bGEl4lawZLVD7Ky7Hn4RaXZSq80lmEEzHbLoe
9OKv3kW0fbWy9R0QwTaVPTtBLFTiEHxlcIqS5jntw3BnsSToSESVN9KnKUme7ZZ9P6igNgddh/KH
eQJNsj+NXoiwa/hESlrR0sWWVpMzjSnyOMR/dDQkmhrXXkygcBKQO9QLvmG0AfN5DlaTFKR3LozO
uAcb/QJTSqBhMeR7pU/2qUOnxllhT/U1s6Vt6ljYKqhdtcx9c1Pt7lDt8BFy0XdlXDOvjxVU0rZW
1ja2O50y+arKi9+vEP3tu9kmyfAkDEzBwdCdDUs9bZx7CkMRJTHlwmKhX+T0+GWUU0VfzGl7f0kN
tH36Cim3cVRPj0lr1TdLGOeL69CqjTl21lwWl0IdlL2lMiUat7x5RXgn7KpkvaYlUexQG9F3SfXu
aX0CgbzOEFAGUHU8ETc1X0vdnvGnnUcvg6ArSTZJSjtoPK4S0FObIBfKp0EHhJHa1RGzDbnXNrFn
pcxCidLLO6fL25krBBJISigEoiTgnIuNApMzxOgkbYRoxCVEbro2rISsHu13LqS/jTSMDgFugc8D
G+OcRxqmIHGrl4WI4pquYE4Soi3FGrZOX7+UKw7SjkNXCt1FqiIY7nD+YUbog7f4YBiTYBLps04J
n03Mm5yKeq+gBOT9wsPbakashJ7pbx8BhNM4xYnjoMTULr9feL/6aAzwGIBayPYiVno2mqqpXHWs
x0SEVokW6CUCUjiMCL/qyDqB5SPoNQ1/bfXSyZ4ZcbGXpXLfiVhvAyRywcB1rI3B+faYQCe5c4Sm
iUg1m++Gt2B7qtt0kEvstqflvavpb3MgZ4NVolkBgGIjo71eqEaj9djX6oL55ZSEhWiWYBtLrp2e
+J6WWDRwSahBZ3NEIEBwW63NUwNh8tquSO5NNXkWrrZc4wGChhqF964wcSYyMRoBrt+N16isvKM+
/PYc5Y6tbVCMGuoGI3l9xxLpx6qb2VqOAhMX3eM+QPG9gOVB/UQbFY9ytXxnaGn9an0zMGV5kC5i
DnsWk5D9g4/d6k0U5zQ2MdsyKcRnuCkoGcLq6OmnJnVFRTtA2k3tK8+gUbn1DOm3K3u8U9Qgq2kh
xAyKgr4YOxqhhnZJa0ULW1JLYVBipjZlt2H1T/pKNXHqidQahZPO+DnsnS2aZRb92m38YqLJeV9Q
USGTZqQHEz3/KClgCYBM+1Ri641AEEM9odnuDmlhdCWdLbOOJy/CzQerLKq4eaJPcpptNCV0E2Zu
37ZK2M56LjerTCjiLwYq/HDjuykE3lf/V8KGbQBQo9GN0d8b8w+o+Kk0CRvJ0qd3oF9pClBLhGga
9zsayw1nIEUupPRn2uZ0sy0+dD21bjANOspLtkSzYaFHdIr1lT4xGl0yyDtmJ6wAu73Pp9GmKTQP
zE8lLyvG3Tdpzkf4fex4m8Aizkt2AZoJDKR60mv9Kd5jUMsIVjpdVDscxsMM4LuC3nwYIehfJdKr
fM9dq8/ILjqBgWDIO2fmxkc9yydc3XSQIUZ2BkjiOYTCc+cC1Yq6idSSKVqjy/lOK+j3uyWdcKP1
zMdaWJWPPlqBagJ7pDA5IZFfEgRl/ssq6jYYVKcKkpVlytnFRMlhAGQv5hdVGy6LpXlSoC34p/kD
rQ1Noc8Xz/k+jVP5ZIltGmDRZM9pSkZqtfX45q2du4rsXraT+aiWFuR+7yhHTMsse7XCZcO8VIn3
wv8z9EAq77uJ9lcEaX9BDYpx4+8/0i8yCxeXX83FdtnkVLa3t/jTVxqZ1dX5lDZRy5DiNCCozG0k
rDEREhnbEGn8aYemJxpbhbpbMzKGOHtkeCAuTmMYfDwATknP8Dmt78stvrX2g5njkAfx8XPNRD9I
FmYRjlot0e/v/m3cc3WcdFGCBj6Fmv1Z3Bt6RXQVjZcI/wxUfpgvbqGiWGhHnrpRZVy9E/XeJM9o
ThMHDIoyYA4c7GcHIkSceJEFfQ5a2wIp1X6DtHIcn2Yx3enzDgyFRuILSA5AI8M2Bhx7eGAGWN29
bGWxR6qBs2Mbdv7+fZwflKebs8hr2W8bamj7858+pr0gcasUdRFlaWvQGuQekJpjCsC4rNzeyj++
3LbFfzjyogF89volvAlIU00RTda2ap3quCgkVGbH2qF2fK/f455nwQ4xjogCohMgm0bl+PrxUhwc
7VVmaZSmqXX0kJYjFkonmE0vZNSEBtqEn8IemVnODNLQQ2ZN8UHTlPrGbEznz8msvLt8HKDdDbcd
LLd9a/d45k1ju5/YowGtju6qdEUdedOCA01fZ8caWwbQKhXTTYzewi7jx7MRZVFm1/foZuQX+VBr
IY4GbaA0ehXkqNEeqGHM1Ef7bwrMxMp9FZODizmeQjqS7V4mrRlVsCouwXIoTFSK2w59IVRfHSOC
CMg71GQGc0vJgzgvktuaOjlcoUIGZe26wZDyB6muPGsb2k6b2uF+IVELqzLO0eelUos3+mJBRkdH
UNJWz5hTB3VRGZcAVC1wYIWXB3bV1mEtTGyLcoludGXWqA8psYHJUOtCJuYecNlDRlr5KHrzFjNL
PUDSpbtygUnTi1m1L5AEjKh3CuudjWacJ+qwPUjC4PlSruJHsEkU/LyWUSeWnlJyyoOgcA+nugd5
Uh6iU5lsk0shxaveirato1hMJv6HC9RTsX1AJOsCV/Y284uBvN6RTh5kZfqt1HMjdIEeoso9IbfN
AtovCuQ0xMsYhNeyDhkibP6nvG3XWJUH5MDNo7f9fN70t32qP1gOaJMJH5K9Z2F+NOCxedDzzn2n
+3N+eAH7Y0Oxg8ljCDTq2VInciKwD2UgTOUayXRBVdZ4Z/eeB8/TJRwQhggtQH1Tz14wVZhFIyBx
AQzkImhGeqGjHCkzBHKIXW+0vBtEyX8fMs6TAi5K7MSJlw67ZVDmv/6qieLauZ1KJ0TVod0z/JK+
WPEPHJNCAzDASE9BofmiQeMVyaOie6et9aa/6Ricc+D8SOBpbtJxeX39pa1KhKkaJxxsoTCXzzu+
trEGeb5dMLa8C+H1bkTr5IG2QxEhsj1++v0rOCHgfi6ET/dAv1qnlgH0uwHEf17ZbBvp6FKxw9wu
lGBc2u6A3JKkEFe7dSfHDHvFSu2+ImoZ3/AizZtmBnVa97r7USmcNUhHRJK6yczDAYLlk9rpvMq2
I7tLRVhBO/wwLUsH3drhcfrUObataR8dMbWPegIqAcFmLYsmr78znERAYlTKi98/45lnGouKBBbh
P+SfYVOiCnJW7C9Zb5stR2g4sKuOkyHnUBUJajBjM16eHsKDhXenTolz7FL+gMFj7HurugalBnZk
JQULDHoRvpHGycFLUjdwGtRyXPBcUHD1FwEW46CMcKEGF7J7lhj3hV4ZeyGz8XJdU3iwrS1BAKxu
ZM/OyFQbYquFwKm12u2+tNG1owjZZuy1ElZCXwO5sdohnaPx1HY3M/8yFPYIxCJNPiyKpSBeNZV3
yyoeV5kbBKHh0pqQFVtNZL2TNh2v9czpn5Sm/uv3r9N4c7DzOumIg6l0aAUjgPd6yQjMyDB7A6CR
FJLeyaAg05OPR+SzP1aww6Gqmhp8YXTzMnuJfZ2Ol59bwj0U8Ffxf6N7VTBfhrXMNssRILqC465+
bZfcYbzsrVf8in0c8YhjImzWBxpJw46XbkeFOn5bc+Hh4xiraG8D2bP6zgxbvUW2SurSV+zmcUDz
Nxxn5aGiIR0UKC++Ezd+9QIYLpl0btnAbzKbZc5SBm28AMhbL0Dm3bvtg8tB5P6kJeM7vUjnTfjF
ucQygFnRjtQRojjL8qqBhos64Pg5gAkKcoapT6Cj0iux1pqPJuMcGmqc36R2n17prmTXSnIIbdLW
YB5b0lB3in3mU3+OXnycEvs6XpFN1YCqzPblkuQIQC4szjEHt8nfRcTSXgPF4+VKxK8DfWJJknu+
NF273usNiDStXcfvWtN0h8HgQwoqm2Peqfa+SIwkTMF1f8KqQX5gah0Hmp6O9yLLVt/UARsUJlKA
Bl6texS9x2sQSd4FY8X7HpLHAVFflv/qDVDla+cooQhcTyqxBfekIsQTNw6YwW32vtX4yVoSNNNH
YqWSIg/vW7qDCmLbs5R6Jb/R1QZpLdQ5vhixU4Lz0JjJpmmjhJ6s6J2OCUr4vMhd6mj2PqWhQRpF
k+w9h5NfrJZN28g4gaq3UP96u3S2XRZokduhiycxG4H3JxEa8bEAaALHavJ3qijzzVkKvZleCE1N
C2EkmvmvL5hn/WLzHFaojaSWLgyaL/o8MaJlW8Xkd66+Hxq3j/ppVkJDqZBfWNv0Sst7F7mWTAR5
GuMrUzbVJ3TVAR9lHAoFQgPFzsWLNdQnQdi0efkS6GagSiLY0vMcWubm/oB3zX6RSG8ueF1ouvlx
Go0nU8FWd/Gcj3Ga/UUlPiCNIocr5OWcQwKkCIXAzL3rqXZQM8PRxBtLmkWIBwfVNKMQTecqMhlI
h4zNCcMjl5w9hJx/H9refipGfCDSSbEo1K3zKh05OpDBa2OFZYVY2Ci4HrA57wLMkXtIV6t953ra
28SSsu3EaaXgZVS9Ceb+fPy6wNtaHb3mEByTsc9QG6HB4trHrGIQVeM7fjV7ZrZPOjsUzSAPsuOD
2Ih07JuK14vAJKOACWVlLIhzlEM4qHDrRGinMSWgBHyrRMujZHYjP1Qd4dqqt8PdinE/xrDzzqqb
r8v2oZLaikFcs19trfwKfhE1OxtUaN5kSpDQm3yADdtdrLZ7XeLEETJleGkhfAfrZL0UTvlVT7l3
Re3ncHHj9Yq+lr7XhpnGSiMf0MdhLShE/tPRKgpSLekm6ROIMmPvYQdyrwHyBSNCIPIQj45Sdu9V
k5bq1dQjEd7Y22laFYDBBXlJkXHODBXOMuoW5had0CurYXmuV1ZQMRIi1pYFWkjZHUDFc/YULOyu
EO1jlhWIptScmaXkhoSDtj4dlzXwlJQpwALR/sefloQKWKtKiOAC1XwDMiQY9Kn1Z+b8u2U7dfNU
7y7MrHCIM0TaTJvIB/p55SXO3UXaq+41Li4e3WH+p9cn7qFzCG51yl9REzKIOsYAs2sAf4P57iOZ
dPIm00AR1T1Crfn2mArymDcj/tGBGNH1G5bGjuAoeRd6lfHuSsuNytX+ZC/Otwq8Lp4jpn5BYBuP
cGqMPcGfVWwtbjS2JSlLtnn7bJHSs3l9IE25gsI+Ex6ZTlrx/rEx7Sna+Ryn3fXfxvvcLvSt+Zd+
9t8X/h+XuTY27a9/z+kMvv4lv/5gdH5FC+9/Hb6O38vsZzqnhsSYc/qVvxXxjD/0TcOa3oJjbsAH
qqG/FfH0PzzNJFQghkeUOpkW/ofwtfoHNQQDOcuwNOtkG/k3nVNX/1ChEm0OaJSxOnv1n9A5z2Ik
SQ8sFjr7sCXBJNBRfR2x8rxHgiYuEWkGDZjnc2Sbaah1OnQXM/rpPd39qEJeSZ+dnWQ8O9O5Ld5t
mSba3WfXSirEr2jrxDBxmhB8zYelag9d4YQ1MXr12s8g3/1++tMzQsVZb5NqVf3UeMKSdqdn89Vc
itCu9ffKNosn/Klk+nFXHOeIEnJ79jnSJxZZ49GtiPciXfZ90V6U9gQQVndCDSPdFRknR6l8W3Li
g0bFjCJYYhN0eAJzrycJEve/f0366Z2f3ZGrI0thYXWHydl59VyljlBA4cf7bh3SSM9NpGgt8wOY
jvh2ThFSEpZS3opyBC882ytjDabF/WpBJC1G82JN6y+KrK37uNfKKwO2/pVpZheoJIcCiHFg1NMX
Z/5WLnUw9v3ObuprG4UjNBFmfC8W9NJ0xKRQwNgbHerLID870IZtswYtJlO0i67VVgnwvQiFWQd5
ifkwZjxDml3ayodJRzw3rgIdrKvZ0ul2l02plwECXAVVv0zsOBra5tjZ+gE3iF0rn5ZKuVAg7a/j
s1Jf2c6AMOtkXIplV+rmofAex4Fkd0BhWy5MXMTsXJj9I7Q24Mk4QY1NZEDaqboSG+vkfjUvMye/
KV3Lp+LzXWsB5xZfWim8HhMdobg8LhalzVhfYuGIBpBxsFEF4PjpwzZ3l3DTiqNYCuhJkolOW5Pr
ekztkBNyxi3INblmOSEqMIZG2+w660/b9S5xcPadGh+b0uJ4wH8oG0O0dUgQG075yU/KjtfDZTwz
EO30oZHWPd8TFCzKBr1d7dZpJH1kSpvLQGtBg9/qdXusMQHKMtcH7LVjGnIpTHbm6O7VvEJC+2Mx
NQdF3qCAHWLT8HUEQGSa4CabL133DRO6XeK2O+D+tx0FlrfcZbI+uLBBKtcJMWPxk7gbbuBRi49Z
H39JUEy4Xlq+nEPXUBH59AH0Z9P7CUtL72PvDqev5ltitDHqcCiz+dUocqSW6/J7h+HHvb4mzVfP
yBwEc61t08Q2h2icXjiT+dHRBv2TXegjSnTJ8HkaN+gFqvsRrnNYBdmlmjxWoqhhZhkxcrb12u6g
EDAVjq2h+ujiBx1qducEvcQJZVdPmxKxEPb81ZJLeaitagBz3I7JdTqK7GgMxq0lO/terqPzoder
vxVM/tvOv5+Pv//9/59ULG2C3x2S/yF7AHj87Gxk72w9hr/Pxu0EBCy1ld8cD6fx8t9no/oHHemf
jk3q6H+djfwJTVyCNa1M0Lb/qXXA4YjLJXU8Ii80Hpnp/5PD0dPPzgaaaIap27RLseqEc8yFfs7n
AV0zSqs1E9hI9jI49o0jrUjY3kMeiwJovbYvF6YSoxI/YLMEy9T+7MgkGrwv6UQY05TkKk7Xx2Kw
I2bJoQbdLD8yPIX/Y5HPl/skHq8BgD62OoYsfRKK1YryVR5U4Tcpm7kUV5r07cENMVnc5+CAylwe
cFG5KGzj3pbWjWUb0dSa92asMYnYbcCyOUnDRXhMI9uPriI+rjO4QhtvMnT0C5wly/55LT8uCTVB
hZ/ebEPqmK4d4eJDUx3p+9/U5vwoDLrVfX0HtmyPxltUQmbJCbSLHj+swIMDNzYfOjtBeS2/rWKT
IXfqVcRDuanSIPOflPd94hwM0cHAsMYvvfSAxcqn3OSVJaoJ48i+QHJ8D2Tum9IbQSuqowm356eV
96u0Y/tIPx+np4/owLbFnpauv3vW717oJHWpqpgAHduAAvA0TUqm9tZalltHMi5L08IvVmevANoe
+TK/v4HzCv6UY6mMEW1a7lvz56wqhBbs4pyF9AMQfoCe2dEdZDireEiNi2Xti1S/NePCjoZ43ewg
Hsc6M45khcpFZYO8cnbfF6OX4UoOAtfGyEJHi6t93Kx4CssDbn+Fb7uJcqH2WCaB/qExWVZBVE8L
5FEJTANY3X4C3AK1xt41TWwdYs+4ameAWDiOqvuh078t+D/tcGy4H5CrWTsKPPben0arX8XOfO3m
qNlgDXeJk2zyQwfsHwXS/ztB7X/7t/5frCWo/kn0/32MPH4FH/L1r+n7d/EqQv74d3+HR/OPTTNw
M3E3tE01m7X7n6XD5nOGlgO+1hus+F/hUdP+YACCQ64BDhPFLpPb+Lt2cP8gkgG8RZMEJYKtGPkn
4fGNIh5xlsapQ/94m3po5514q5kAIxi1GdhTdelV0NUmF552Jb/g5z3tAHAEhT1Bgqd/FLvJgGKE
+oiFpXpsuvHJmPLPcHxubIQKoxnS46Fv+7s8qbFds5GwbwYlIyYwNJNW+QRzsYTpXjxNVhN443Jp
eLa+q5m1+JPAQ4Ig9NPX+EXceF0ZMcKh+GKKRN8NETwN3Pbr2J+rZdqvS2MiDpsHmjWERfxSS3FH
PfVOgDi/EgJXlHjAJDT+bysHX18pQVTUGemSB53W7LKkpouuHGnBBRri4r9/KGNrT/4cDG2TGMT4
BLgn9N1TXfnzibbY2QTllfy9tsdvTtw6aPLXf/Z46EHt1C5iWIF+aTOqU1tUy5xx6HyAROMOWGMa
4XvcH9ZBRGbmfOZvPdR1da1YjDcsS/4f5s6lO20li8J/pdedw9K7pEH3ADB++zqOkzieaPkmjoQQ
6I0ev76/ApyATGwn6l5RDe7gkmVEqc6p89hn7zsU7c4jS1A6mhhmbE1MK/onrRb1ONb9hiAxuagN
D/0hc1YiB6ecLSDBBCvrZ+Mc4cIjg4l0xr3qB2vVfEbY8F5PxAK2f3LCl/dgXTFt7QFYT0XypgEP
J/zY32/XFP6q1gfOJLKpTDEVqAI2HMfI/6K2i/DYXbywHgY2U+xQylQzgl1jtfgaDvzHlx9k/UX7
DwLggK4labcBwVmb26z2q8pbeKZ/FObw26pJUo9XA3FnUzaaVGr4JSzm5wbFqVkYnqcFZDVm/W7l
BuJYB9g9WoAp04v0PXqRUAcnx4YnHprAu1/U9GvC12hM29BFkE7wCWEHlB4Efd1ncE2wB4N5XvlH
itLQ6MqjM6GUt8ZKeZ8MrMs4n91mRXQaONZJU8mSlvJx4Fcp6ZM+8it/kjbBBO2LkcjRcGkQs/It
67aMU+OVbs6zt8tzOia1FEmEhUK4aBXoTS8R1mwm6H7OwvexHSTTEmGXUVJWf5dmcQ4zkIqiEVy8
hsUU7jxt7ldJ854ogWvQe+Vh2hWP1rPYrYqHYsH6hPSnO3GXpEkA5eaOOoIeW3JQH2evfl0b5y7f
ESB/TpPBmxIML+2fbIFypN2EwpnoOSrkhRdHIztPJ8Wi5FQY71UvBHxQLyIwRAN/nCzE7Nry61ND
8e9FrUPIQTsKOgdUXpfO8s4lHPIyZ7oIsluqy/NzzbdCqKscSL3N2Ts434tJzrT2QG8ubBp3J4EF
WjNWl8kY1BmaTpEKTrM4R5IhQJ6VaXrDSKS6FWTIdUjyBiXfCXjY+igymWk3UaAdacxQHIFHv37Z
1PZdLMAeuTFwp4HWs8g1nvXmdSXMopwX0cBd0BjeNIivqoDBrsUr7b0DZiKgaJPMTiARAAK1rg3Z
AEZfGJvWA3E+W80flzAs8L7jDD40Hd3szP8UVOV7ELynDCLe6LX22bUX9Ioz9z517fHSzL56cBkv
lflJGmq3eZ5eVlH4SjHuWVAqURK7z9mKihXXEZ4WJ/Mjt7EuarWcUogDSxQs7lwuaBB1UnQ3Xs0Y
dvYzxkyXlylDFGM7Tu48qTgVlc3gyjKywVFVJfqJHsxWl2mWglHSyvmJubTdYy+xjDOi1vnHojSQ
8EryK2hfViMjLjIAUCuo2TS4U5YOX2wpq3rik1dAdGFoI2g3coarZxAwaHlxvDSiT9D/P6Bxo2FH
ZX1fm8VHwKbWpCFy+LaIV7Bju14KY0vinS+tqEFA+BeHaThERDvwOBNaqfzXbFnzPHcIN3Sk5zzT
vcqjOU4QsKwuAAlp05fP6xqssns1yO8i5pDQa1ryBPv7llxJHu9Mj5zJSmv0s6JoPqH5rJ/Hae19
ZATTGJHMoMFQX2beN0/MUPLUM7QYHC7YMo9SGh+qxUsx02vVqV95OPndrWejNo3VOhgVYPbWEQ+D
lbow7TmtxEVIx3kqzMF5k3x4ZQfakQo7AAcWTkzwHUxhtnYA6h+voPPjQafhj+xKVCe1CYuAK0e6
kPib1FlxU3px/BAm5oegrN+ZGR0cOmVjYTB4njQMzSfpbHkksuoajl3/IgQRN0pdYbwSUBx6Usum
wyiPBdDK1o2TBxTQK3MGeZsV4VVmiyk4oJHpS4ZuBfiG5Yuporjntpa/cr8Qye+/CQZ3NFrkEs2F
qk3b2dAmzxvoAlwoQgUVUYGLSccL2nj6UrtZ1QVgn+SVr3wmoQOsi9IK/XMDtBMOrvVeHIQXDDB5
zsRJXICGA5XifFxRmUQtQpsR2i+KL/589SHxjQdm1R+0RvMR0P4H0VFv7A+i6MpGIjcQ+qkaCagZ
bl8+N4a0wr3TCeiYiisBLn0NOC/lnu0AVatBokaKloMlsIsJhOnHrulOXZg6KLH61iidN+G5wSEq
K+1bYPpnRWPdZxEgotxyP6fQYUHYYtxo5epb4PsA2JSpt4qYGZrPrktrfozSM1dVhPJzHH1Bs9w+
EoU3BX3gnEZ83MRGeRYwLzyCK2dSV5ADzM3ssV4ot0VtfFZh7KdUOl2l86nhuczt6xCNvLwDol3w
ECCXSVuYLgGvC5a1FQUsZyCkbNUXoCmE1PV619hMhy9XKAbEyL2HTp4eIQl/GVce5BUu/ydivJ4i
anaUe9lNnpY3RgrKRxlo9ng2R+FRS7nghTKykbcTiYVwtJOh5KmnF15GC8Gpcd4JAy1paanw7iLS
6RnlZMbQu21GyxFIQBRSnM8QZVyqnj6Zh9ppGnAbBPQgSsVKR03RfIXZLaYjm1ylhRTM4NGUxd9h
WF1UQXAxD+cm1V3zgZbFZKDrSK4ji5Ln1mU0mB8n5CAgCGjcqkurmRpLJvcrUIaRHHump4x2/QKd
CfTBpz6Ta3rF0CEfnWlm/KVMvb+j8E40Diocj6+8imdnUXbqME1SOwUMecszFIjkLCFJJB7Txown
mOIEjkzg02q0jTR/qYjyBuGy/0OdefuIB0WHvysjyU+vo9kyv42eKRO/6R89SS4d/kNvVjGm+CwB
cHtVmfVzrWWUX/oz4UM+y4uvqCRr1hBQK+1aKh6b9de/wmjpbT92kCzGvHCTUrWYRVLA9+1s0882
4uXfePNM4/n533npBzyu5aJPv/77LzkAu3koehDIVn3f01/YBNVAzI2s1TDoX8qFk9nZBLTeABU6
tDBltMQiRvgjm/AlKpZ5Wt88enRB9+psMnF8yzlo/YWdc6ANic4gIgVDfWgLHNmKoNctRxzl2py7
Hp0DWhpaV2NQnSFTYIqsTW5+5fNzIMdnNHzfehEt/JFz8FNpc51aWLtO+xsegbkdoiJ1swctY7CV
oQlcGfXgP2wMP90Eyo9cTW+xhtaf+GENqgnNuGkylMxQ3nrtOwRn6FgmmQzIuPX6Uw6h9QN+eEXI
urWOe6CZkLAD2cHtHTIGm48VECaQEPTNCqiKUHIytnfV718LmkqHgVwIbY+DO6ANma4il1N6twNg
bWSS3ckGNH0IkQItAzm6t3Mb2mJIIsv49Nb+nd55QTrwMjTq6gQwAPBqkOvIOZT12tsHh9OxTsro
aD193K/bAC522WPrdApUZUjlmYifds7Tr9w5DIRGhsLFa6Bmu169MwXZGnxjcNTypj+uA4Jk4Or0
NiBrP7QJ0lI4c8TJm03on0Uc6N/+alxAJxb2MG48OWG4ewQM3CCc7MzH9e4ikE/V0QBwgwy4UCqF
k2W9WjEhXWgokoDpbO2jf6GA7Ax23ATevew1KMgA7b97G/OH1QLWk769e2hJ5Ahlxx+uaUM4CQH6
Phk+l8ru2VeHUE3TVOefPDmGnt0Bm7uwsxWQIZNckAMeDIgdPCCxokBnr6f7wAzpNm3vEA+S+kCG
JOvE33/lzmGwqZUgYcbUzDZ77J8/pNKja5QxOlqFKoY4Q4sWQcsdOENwuzJg3uZFm1y0R1WCp9Sg
c2yIQpVsHICq2RyF/Y0gOYIhBDQEtfv12oRhPdoISBs7+wSLkpEEZZEmb9aeb0TfyyY5IoPua6EA
py3J1TrFxzrIXsmACSPf3q8X5pCYmCwUhqL16p8zoOvZtWCmOUN0clRHki/teEKyAn42GbjR12rh
JkWU7bZOb1+zh5DboM4GFuNQcCiG5OFwN5vb4LB3VVOKO52vRZ0ImUqRSQp0yA9gCYyQQXHw9HH/
NmFbL9rcVr8fH+ALcPkQCoHPWa/9S0E4CB5y+UIcsz52PboNVJDcXW1BV4frujFO7ye2wOAgZJJM
QaxX/46BHHWExKCrT9CHzH8o7MV+rkC9SHIU8/u3+9O7G0EDl01228kjkilKwmApEHfwFDhDcAyy
JrP5VDYX+pUwybwRcF3XbTBlv4wjwEDPZu1fkNRMwLqA4kPSU67enQUuSImE7+oSNUGCrBMjote3
XvtRkkNnVY4X00nYrL46hc1z/f7VQBUJDjw2Qc5L70RKMkjWLUVzkBpcr96Vj+RB2AyAd/ILzLKR
LaFlLSvSOxsgdE4A9UNE6zcHpHeZ0jZU/B8kClwuJEzQiq9Xq46IsDFq69QZtxWU3u2DrtjbKl8H
M8AdUCOXtItbg987DDblRPifqTFvD0Pv3IHEPoGL7Ho7UFXkDDBmtG8Ma2/AfCZE2N+3p1+349YY
ukYJeIMt1OZwUV16RTaIatXbw4M3hNOAs+S/+hI+PqT/+S8AAAD//w==</cx:binary>
              </cx:geoCache>
            </cx:geography>
          </cx:layoutPr>
          <cx:valueColors>
            <cx:minColor>
              <a:srgbClr val="A4F1FE"/>
            </cx:minColor>
            <cx:midColor>
              <a:srgbClr val="3DABFD"/>
            </cx:midColor>
          </cx:valueColors>
          <cx:valueColorPositions count="3"/>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Analysis!A1"/><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Data Set'!A1"/><Relationship Id="rId9" Type="http://schemas.openxmlformats.org/officeDocument/2006/relationships/image" Target="../media/image6.svg"/></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svg"/><Relationship Id="rId7" Type="http://schemas.openxmlformats.org/officeDocument/2006/relationships/hyperlink" Target="#Analysis!A1"/><Relationship Id="rId2" Type="http://schemas.openxmlformats.org/officeDocument/2006/relationships/image" Target="../media/image1.png"/><Relationship Id="rId1" Type="http://schemas.openxmlformats.org/officeDocument/2006/relationships/hyperlink" Target="#DashBoard!A1"/><Relationship Id="rId6" Type="http://schemas.openxmlformats.org/officeDocument/2006/relationships/image" Target="../media/image4.svg"/><Relationship Id="rId5" Type="http://schemas.openxmlformats.org/officeDocument/2006/relationships/image" Target="../media/image3.png"/><Relationship Id="rId4" Type="http://schemas.openxmlformats.org/officeDocument/2006/relationships/hyperlink" Target="#'Data Set'!A1"/><Relationship Id="rId9" Type="http://schemas.openxmlformats.org/officeDocument/2006/relationships/image" Target="../media/image6.sv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hyperlink" Target="#DashBoard!A1"/><Relationship Id="rId18" Type="http://schemas.openxmlformats.org/officeDocument/2006/relationships/image" Target="../media/image4.svg"/><Relationship Id="rId3" Type="http://schemas.openxmlformats.org/officeDocument/2006/relationships/chart" Target="../charts/chart3.xml"/><Relationship Id="rId21" Type="http://schemas.openxmlformats.org/officeDocument/2006/relationships/image" Target="../media/image6.svg"/><Relationship Id="rId7" Type="http://schemas.openxmlformats.org/officeDocument/2006/relationships/chart" Target="../charts/chart6.xml"/><Relationship Id="rId12" Type="http://schemas.openxmlformats.org/officeDocument/2006/relationships/image" Target="../media/image10.svg"/><Relationship Id="rId17" Type="http://schemas.openxmlformats.org/officeDocument/2006/relationships/image" Target="../media/image3.png"/><Relationship Id="rId25" Type="http://schemas.openxmlformats.org/officeDocument/2006/relationships/image" Target="../media/image14.svg"/><Relationship Id="rId2" Type="http://schemas.openxmlformats.org/officeDocument/2006/relationships/chart" Target="../charts/chart2.xml"/><Relationship Id="rId16" Type="http://schemas.openxmlformats.org/officeDocument/2006/relationships/hyperlink" Target="#'Data Set'!A1"/><Relationship Id="rId20" Type="http://schemas.openxmlformats.org/officeDocument/2006/relationships/image" Target="../media/image5.png"/><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9.png"/><Relationship Id="rId24" Type="http://schemas.openxmlformats.org/officeDocument/2006/relationships/image" Target="../media/image13.png"/><Relationship Id="rId5" Type="http://schemas.openxmlformats.org/officeDocument/2006/relationships/chart" Target="../charts/chart4.xml"/><Relationship Id="rId15" Type="http://schemas.openxmlformats.org/officeDocument/2006/relationships/image" Target="../media/image2.svg"/><Relationship Id="rId23" Type="http://schemas.openxmlformats.org/officeDocument/2006/relationships/image" Target="../media/image12.svg"/><Relationship Id="rId10" Type="http://schemas.openxmlformats.org/officeDocument/2006/relationships/image" Target="../media/image8.svg"/><Relationship Id="rId19" Type="http://schemas.openxmlformats.org/officeDocument/2006/relationships/hyperlink" Target="#Analysis!A1"/><Relationship Id="rId4" Type="http://schemas.microsoft.com/office/2014/relationships/chartEx" Target="../charts/chartEx1.xml"/><Relationship Id="rId9" Type="http://schemas.openxmlformats.org/officeDocument/2006/relationships/image" Target="../media/image7.png"/><Relationship Id="rId14" Type="http://schemas.openxmlformats.org/officeDocument/2006/relationships/image" Target="../media/image1.png"/><Relationship Id="rId22"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editAs="oneCell">
    <xdr:from>
      <xdr:col>0</xdr:col>
      <xdr:colOff>47117</xdr:colOff>
      <xdr:row>14</xdr:row>
      <xdr:rowOff>77490</xdr:rowOff>
    </xdr:from>
    <xdr:to>
      <xdr:col>1</xdr:col>
      <xdr:colOff>260988</xdr:colOff>
      <xdr:row>18</xdr:row>
      <xdr:rowOff>155982</xdr:rowOff>
    </xdr:to>
    <xdr:pic>
      <xdr:nvPicPr>
        <xdr:cNvPr id="2" name="Graphic 1" descr="Presentation with pie chart">
          <a:hlinkClick xmlns:r="http://schemas.openxmlformats.org/officeDocument/2006/relationships" r:id="rId1"/>
          <a:extLst>
            <a:ext uri="{FF2B5EF4-FFF2-40B4-BE49-F238E27FC236}">
              <a16:creationId xmlns:a16="http://schemas.microsoft.com/office/drawing/2014/main" id="{08576DAC-2FC2-4AE9-941B-6211C491203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7117" y="2611140"/>
          <a:ext cx="823471" cy="802392"/>
        </a:xfrm>
        <a:prstGeom prst="rect">
          <a:avLst/>
        </a:prstGeom>
      </xdr:spPr>
    </xdr:pic>
    <xdr:clientData/>
  </xdr:twoCellAnchor>
  <xdr:twoCellAnchor editAs="oneCell">
    <xdr:from>
      <xdr:col>0</xdr:col>
      <xdr:colOff>0</xdr:colOff>
      <xdr:row>3</xdr:row>
      <xdr:rowOff>19947</xdr:rowOff>
    </xdr:from>
    <xdr:to>
      <xdr:col>1</xdr:col>
      <xdr:colOff>218400</xdr:colOff>
      <xdr:row>7</xdr:row>
      <xdr:rowOff>98439</xdr:rowOff>
    </xdr:to>
    <xdr:pic>
      <xdr:nvPicPr>
        <xdr:cNvPr id="3" name="Graphic 2" descr="Database">
          <a:hlinkClick xmlns:r="http://schemas.openxmlformats.org/officeDocument/2006/relationships" r:id="rId4"/>
          <a:extLst>
            <a:ext uri="{FF2B5EF4-FFF2-40B4-BE49-F238E27FC236}">
              <a16:creationId xmlns:a16="http://schemas.microsoft.com/office/drawing/2014/main" id="{F75E3186-C49E-4D4D-905E-F89A93388B8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0" y="562872"/>
          <a:ext cx="828000" cy="802392"/>
        </a:xfrm>
        <a:prstGeom prst="rect">
          <a:avLst/>
        </a:prstGeom>
      </xdr:spPr>
    </xdr:pic>
    <xdr:clientData/>
  </xdr:twoCellAnchor>
  <xdr:twoCellAnchor editAs="oneCell">
    <xdr:from>
      <xdr:col>0</xdr:col>
      <xdr:colOff>24261</xdr:colOff>
      <xdr:row>8</xdr:row>
      <xdr:rowOff>139206</xdr:rowOff>
    </xdr:from>
    <xdr:to>
      <xdr:col>1</xdr:col>
      <xdr:colOff>241256</xdr:colOff>
      <xdr:row>13</xdr:row>
      <xdr:rowOff>36723</xdr:rowOff>
    </xdr:to>
    <xdr:pic>
      <xdr:nvPicPr>
        <xdr:cNvPr id="4" name="Graphic 3" descr="Venn diagram">
          <a:hlinkClick xmlns:r="http://schemas.openxmlformats.org/officeDocument/2006/relationships" r:id="rId7"/>
          <a:extLst>
            <a:ext uri="{FF2B5EF4-FFF2-40B4-BE49-F238E27FC236}">
              <a16:creationId xmlns:a16="http://schemas.microsoft.com/office/drawing/2014/main" id="{5DFFD2FA-DF87-444C-958E-1E992AB1FBA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4261" y="1587006"/>
          <a:ext cx="826595" cy="802392"/>
        </a:xfrm>
        <a:prstGeom prst="rect">
          <a:avLst/>
        </a:prstGeom>
      </xdr:spPr>
    </xdr:pic>
    <xdr:clientData/>
  </xdr:twoCellAnchor>
  <xdr:twoCellAnchor>
    <xdr:from>
      <xdr:col>1</xdr:col>
      <xdr:colOff>276225</xdr:colOff>
      <xdr:row>4</xdr:row>
      <xdr:rowOff>114300</xdr:rowOff>
    </xdr:from>
    <xdr:to>
      <xdr:col>3</xdr:col>
      <xdr:colOff>323850</xdr:colOff>
      <xdr:row>6</xdr:row>
      <xdr:rowOff>133350</xdr:rowOff>
    </xdr:to>
    <xdr:sp macro="" textlink="">
      <xdr:nvSpPr>
        <xdr:cNvPr id="6" name="TextBox 5">
          <a:extLst>
            <a:ext uri="{FF2B5EF4-FFF2-40B4-BE49-F238E27FC236}">
              <a16:creationId xmlns:a16="http://schemas.microsoft.com/office/drawing/2014/main" id="{947B1A1C-BC6F-400A-9068-60A86F2D3DD9}"/>
            </a:ext>
          </a:extLst>
        </xdr:cNvPr>
        <xdr:cNvSpPr txBox="1"/>
      </xdr:nvSpPr>
      <xdr:spPr>
        <a:xfrm>
          <a:off x="885825" y="838200"/>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Data</a:t>
          </a:r>
          <a:r>
            <a:rPr lang="en-IN" sz="2000" b="1" baseline="0">
              <a:solidFill>
                <a:srgbClr val="3903FD"/>
              </a:solidFill>
              <a:latin typeface="Times New Roman" panose="02020603050405020304" pitchFamily="18" charset="0"/>
              <a:cs typeface="Times New Roman" panose="02020603050405020304" pitchFamily="18" charset="0"/>
            </a:rPr>
            <a:t> </a:t>
          </a:r>
          <a:r>
            <a:rPr lang="en-IN" sz="2000" b="1">
              <a:solidFill>
                <a:srgbClr val="3903FD"/>
              </a:solidFill>
              <a:latin typeface="Times New Roman" panose="02020603050405020304" pitchFamily="18" charset="0"/>
              <a:cs typeface="Times New Roman" panose="02020603050405020304" pitchFamily="18" charset="0"/>
            </a:rPr>
            <a:t>Set</a:t>
          </a:r>
        </a:p>
      </xdr:txBody>
    </xdr:sp>
    <xdr:clientData/>
  </xdr:twoCellAnchor>
  <xdr:twoCellAnchor>
    <xdr:from>
      <xdr:col>1</xdr:col>
      <xdr:colOff>276225</xdr:colOff>
      <xdr:row>10</xdr:row>
      <xdr:rowOff>4762</xdr:rowOff>
    </xdr:from>
    <xdr:to>
      <xdr:col>3</xdr:col>
      <xdr:colOff>323850</xdr:colOff>
      <xdr:row>12</xdr:row>
      <xdr:rowOff>23812</xdr:rowOff>
    </xdr:to>
    <xdr:sp macro="" textlink="">
      <xdr:nvSpPr>
        <xdr:cNvPr id="7" name="TextBox 6">
          <a:extLst>
            <a:ext uri="{FF2B5EF4-FFF2-40B4-BE49-F238E27FC236}">
              <a16:creationId xmlns:a16="http://schemas.microsoft.com/office/drawing/2014/main" id="{0747A082-F32F-4467-AD4B-9358376F475F}"/>
            </a:ext>
          </a:extLst>
        </xdr:cNvPr>
        <xdr:cNvSpPr txBox="1"/>
      </xdr:nvSpPr>
      <xdr:spPr>
        <a:xfrm>
          <a:off x="885825" y="1814512"/>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Analysis</a:t>
          </a:r>
        </a:p>
        <a:p>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276225</xdr:colOff>
      <xdr:row>15</xdr:row>
      <xdr:rowOff>76200</xdr:rowOff>
    </xdr:from>
    <xdr:to>
      <xdr:col>4</xdr:col>
      <xdr:colOff>28575</xdr:colOff>
      <xdr:row>17</xdr:row>
      <xdr:rowOff>95250</xdr:rowOff>
    </xdr:to>
    <xdr:sp macro="" textlink="">
      <xdr:nvSpPr>
        <xdr:cNvPr id="8" name="TextBox 7">
          <a:extLst>
            <a:ext uri="{FF2B5EF4-FFF2-40B4-BE49-F238E27FC236}">
              <a16:creationId xmlns:a16="http://schemas.microsoft.com/office/drawing/2014/main" id="{A86C3F27-9ADD-48A4-8157-457FEC5E4FAE}"/>
            </a:ext>
          </a:extLst>
        </xdr:cNvPr>
        <xdr:cNvSpPr txBox="1"/>
      </xdr:nvSpPr>
      <xdr:spPr>
        <a:xfrm>
          <a:off x="885825" y="2790825"/>
          <a:ext cx="15811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Dash Board</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94242</xdr:colOff>
      <xdr:row>11</xdr:row>
      <xdr:rowOff>41295</xdr:rowOff>
    </xdr:from>
    <xdr:to>
      <xdr:col>0</xdr:col>
      <xdr:colOff>922242</xdr:colOff>
      <xdr:row>15</xdr:row>
      <xdr:rowOff>137775</xdr:rowOff>
    </xdr:to>
    <xdr:pic>
      <xdr:nvPicPr>
        <xdr:cNvPr id="2" name="Graphic 1" descr="Presentation with pie chart">
          <a:hlinkClick xmlns:r="http://schemas.openxmlformats.org/officeDocument/2006/relationships" r:id="rId1"/>
          <a:extLst>
            <a:ext uri="{FF2B5EF4-FFF2-40B4-BE49-F238E27FC236}">
              <a16:creationId xmlns:a16="http://schemas.microsoft.com/office/drawing/2014/main" id="{4C5F9376-6D68-41B8-BE66-18D8E3FDF5F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4242" y="2052975"/>
          <a:ext cx="828000" cy="828000"/>
        </a:xfrm>
        <a:prstGeom prst="rect">
          <a:avLst/>
        </a:prstGeom>
      </xdr:spPr>
    </xdr:pic>
    <xdr:clientData/>
  </xdr:twoCellAnchor>
  <xdr:twoCellAnchor editAs="oneCell">
    <xdr:from>
      <xdr:col>0</xdr:col>
      <xdr:colOff>0</xdr:colOff>
      <xdr:row>0</xdr:row>
      <xdr:rowOff>10422</xdr:rowOff>
    </xdr:from>
    <xdr:to>
      <xdr:col>0</xdr:col>
      <xdr:colOff>828000</xdr:colOff>
      <xdr:row>4</xdr:row>
      <xdr:rowOff>106902</xdr:rowOff>
    </xdr:to>
    <xdr:pic>
      <xdr:nvPicPr>
        <xdr:cNvPr id="3" name="Graphic 2" descr="Database">
          <a:hlinkClick xmlns:r="http://schemas.openxmlformats.org/officeDocument/2006/relationships" r:id="rId4"/>
          <a:extLst>
            <a:ext uri="{FF2B5EF4-FFF2-40B4-BE49-F238E27FC236}">
              <a16:creationId xmlns:a16="http://schemas.microsoft.com/office/drawing/2014/main" id="{28068BA4-47C3-43DC-B8A3-CFFABA05CE3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0" y="10422"/>
          <a:ext cx="828000" cy="828000"/>
        </a:xfrm>
        <a:prstGeom prst="rect">
          <a:avLst/>
        </a:prstGeom>
      </xdr:spPr>
    </xdr:pic>
    <xdr:clientData/>
  </xdr:twoCellAnchor>
  <xdr:twoCellAnchor editAs="oneCell">
    <xdr:from>
      <xdr:col>0</xdr:col>
      <xdr:colOff>47121</xdr:colOff>
      <xdr:row>5</xdr:row>
      <xdr:rowOff>117299</xdr:rowOff>
    </xdr:from>
    <xdr:to>
      <xdr:col>0</xdr:col>
      <xdr:colOff>875121</xdr:colOff>
      <xdr:row>10</xdr:row>
      <xdr:rowOff>30899</xdr:rowOff>
    </xdr:to>
    <xdr:pic>
      <xdr:nvPicPr>
        <xdr:cNvPr id="4" name="Graphic 3" descr="Venn diagram">
          <a:hlinkClick xmlns:r="http://schemas.openxmlformats.org/officeDocument/2006/relationships" r:id="rId7"/>
          <a:extLst>
            <a:ext uri="{FF2B5EF4-FFF2-40B4-BE49-F238E27FC236}">
              <a16:creationId xmlns:a16="http://schemas.microsoft.com/office/drawing/2014/main" id="{E053EF35-3AEB-4311-8B57-717990131C4C}"/>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47121" y="1031699"/>
          <a:ext cx="828000" cy="828000"/>
        </a:xfrm>
        <a:prstGeom prst="rect">
          <a:avLst/>
        </a:prstGeom>
      </xdr:spPr>
    </xdr:pic>
    <xdr:clientData/>
  </xdr:twoCellAnchor>
  <xdr:twoCellAnchor>
    <xdr:from>
      <xdr:col>0</xdr:col>
      <xdr:colOff>876300</xdr:colOff>
      <xdr:row>1</xdr:row>
      <xdr:rowOff>106680</xdr:rowOff>
    </xdr:from>
    <xdr:to>
      <xdr:col>0</xdr:col>
      <xdr:colOff>2143125</xdr:colOff>
      <xdr:row>3</xdr:row>
      <xdr:rowOff>121920</xdr:rowOff>
    </xdr:to>
    <xdr:sp macro="" textlink="">
      <xdr:nvSpPr>
        <xdr:cNvPr id="6" name="TextBox 5">
          <a:extLst>
            <a:ext uri="{FF2B5EF4-FFF2-40B4-BE49-F238E27FC236}">
              <a16:creationId xmlns:a16="http://schemas.microsoft.com/office/drawing/2014/main" id="{EE0E3F4D-F41C-425D-80B8-46B6EA0FB834}"/>
            </a:ext>
          </a:extLst>
        </xdr:cNvPr>
        <xdr:cNvSpPr txBox="1"/>
      </xdr:nvSpPr>
      <xdr:spPr>
        <a:xfrm>
          <a:off x="876300" y="289560"/>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Data</a:t>
          </a:r>
          <a:r>
            <a:rPr lang="en-IN" sz="2000" b="1" baseline="0">
              <a:solidFill>
                <a:srgbClr val="3903FD"/>
              </a:solidFill>
              <a:latin typeface="Times New Roman" panose="02020603050405020304" pitchFamily="18" charset="0"/>
              <a:cs typeface="Times New Roman" panose="02020603050405020304" pitchFamily="18" charset="0"/>
            </a:rPr>
            <a:t> </a:t>
          </a:r>
          <a:r>
            <a:rPr lang="en-IN" sz="2000" b="1">
              <a:solidFill>
                <a:srgbClr val="3903FD"/>
              </a:solidFill>
              <a:latin typeface="Times New Roman" panose="02020603050405020304" pitchFamily="18" charset="0"/>
              <a:cs typeface="Times New Roman" panose="02020603050405020304" pitchFamily="18" charset="0"/>
            </a:rPr>
            <a:t>Set</a:t>
          </a:r>
        </a:p>
      </xdr:txBody>
    </xdr:sp>
    <xdr:clientData/>
  </xdr:twoCellAnchor>
  <xdr:twoCellAnchor>
    <xdr:from>
      <xdr:col>0</xdr:col>
      <xdr:colOff>876300</xdr:colOff>
      <xdr:row>6</xdr:row>
      <xdr:rowOff>168592</xdr:rowOff>
    </xdr:from>
    <xdr:to>
      <xdr:col>0</xdr:col>
      <xdr:colOff>2143125</xdr:colOff>
      <xdr:row>9</xdr:row>
      <xdr:rowOff>952</xdr:rowOff>
    </xdr:to>
    <xdr:sp macro="" textlink="">
      <xdr:nvSpPr>
        <xdr:cNvPr id="7" name="TextBox 6">
          <a:extLst>
            <a:ext uri="{FF2B5EF4-FFF2-40B4-BE49-F238E27FC236}">
              <a16:creationId xmlns:a16="http://schemas.microsoft.com/office/drawing/2014/main" id="{2E80A32C-D876-4DE6-B4EF-A993E5D1C66E}"/>
            </a:ext>
          </a:extLst>
        </xdr:cNvPr>
        <xdr:cNvSpPr txBox="1"/>
      </xdr:nvSpPr>
      <xdr:spPr>
        <a:xfrm>
          <a:off x="876300" y="1265872"/>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Analysis</a:t>
          </a:r>
        </a:p>
        <a:p>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808781</xdr:colOff>
      <xdr:row>12</xdr:row>
      <xdr:rowOff>28334</xdr:rowOff>
    </xdr:from>
    <xdr:to>
      <xdr:col>0</xdr:col>
      <xdr:colOff>2286000</xdr:colOff>
      <xdr:row>14</xdr:row>
      <xdr:rowOff>43574</xdr:rowOff>
    </xdr:to>
    <xdr:sp macro="" textlink="">
      <xdr:nvSpPr>
        <xdr:cNvPr id="8" name="TextBox 7">
          <a:extLst>
            <a:ext uri="{FF2B5EF4-FFF2-40B4-BE49-F238E27FC236}">
              <a16:creationId xmlns:a16="http://schemas.microsoft.com/office/drawing/2014/main" id="{B20FF39C-C9D4-4C70-B100-139CA0819DDC}"/>
            </a:ext>
          </a:extLst>
        </xdr:cNvPr>
        <xdr:cNvSpPr txBox="1"/>
      </xdr:nvSpPr>
      <xdr:spPr>
        <a:xfrm>
          <a:off x="808781" y="2227524"/>
          <a:ext cx="1477219" cy="381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Dash 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387049</xdr:colOff>
      <xdr:row>8</xdr:row>
      <xdr:rowOff>124582</xdr:rowOff>
    </xdr:from>
    <xdr:to>
      <xdr:col>8</xdr:col>
      <xdr:colOff>448733</xdr:colOff>
      <xdr:row>18</xdr:row>
      <xdr:rowOff>37495</xdr:rowOff>
    </xdr:to>
    <mc:AlternateContent xmlns:mc="http://schemas.openxmlformats.org/markup-compatibility/2006" xmlns:a14="http://schemas.microsoft.com/office/drawing/2010/main">
      <mc:Choice Requires="a14">
        <xdr:graphicFrame macro="">
          <xdr:nvGraphicFramePr>
            <xdr:cNvPr id="78" name="Region 1">
              <a:extLst>
                <a:ext uri="{FF2B5EF4-FFF2-40B4-BE49-F238E27FC236}">
                  <a16:creationId xmlns:a16="http://schemas.microsoft.com/office/drawing/2014/main" id="{8E21BD4D-88A4-42F5-B328-6E323040C70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825449" y="1587622"/>
              <a:ext cx="2500084" cy="174171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0</xdr:rowOff>
    </xdr:from>
    <xdr:to>
      <xdr:col>35</xdr:col>
      <xdr:colOff>557283</xdr:colOff>
      <xdr:row>53</xdr:row>
      <xdr:rowOff>108857</xdr:rowOff>
    </xdr:to>
    <xdr:sp macro="" textlink="">
      <xdr:nvSpPr>
        <xdr:cNvPr id="11" name="Rectangle 10">
          <a:extLst>
            <a:ext uri="{FF2B5EF4-FFF2-40B4-BE49-F238E27FC236}">
              <a16:creationId xmlns:a16="http://schemas.microsoft.com/office/drawing/2014/main" id="{4AB46CB9-D50B-4E0A-9EFF-DCB8564C665D}"/>
            </a:ext>
          </a:extLst>
        </xdr:cNvPr>
        <xdr:cNvSpPr/>
      </xdr:nvSpPr>
      <xdr:spPr>
        <a:xfrm>
          <a:off x="0" y="0"/>
          <a:ext cx="21747146" cy="10067049"/>
        </a:xfrm>
        <a:prstGeom prst="rect">
          <a:avLst/>
        </a:prstGeom>
        <a:solidFill>
          <a:srgbClr val="3903F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32527</xdr:colOff>
      <xdr:row>0</xdr:row>
      <xdr:rowOff>42110</xdr:rowOff>
    </xdr:from>
    <xdr:to>
      <xdr:col>33</xdr:col>
      <xdr:colOff>420805</xdr:colOff>
      <xdr:row>52</xdr:row>
      <xdr:rowOff>54429</xdr:rowOff>
    </xdr:to>
    <xdr:sp macro="" textlink="">
      <xdr:nvSpPr>
        <xdr:cNvPr id="13" name="Rectangle: Rounded Corners 12">
          <a:extLst>
            <a:ext uri="{FF2B5EF4-FFF2-40B4-BE49-F238E27FC236}">
              <a16:creationId xmlns:a16="http://schemas.microsoft.com/office/drawing/2014/main" id="{39F9B633-8C76-4913-9254-4F8EE4301420}"/>
            </a:ext>
          </a:extLst>
        </xdr:cNvPr>
        <xdr:cNvSpPr/>
      </xdr:nvSpPr>
      <xdr:spPr>
        <a:xfrm>
          <a:off x="32527" y="42110"/>
          <a:ext cx="20655203" cy="9474767"/>
        </a:xfrm>
        <a:prstGeom prst="roundRect">
          <a:avLst>
            <a:gd name="adj" fmla="val 2783"/>
          </a:avLst>
        </a:prstGeom>
        <a:gradFill flip="none" rotWithShape="1">
          <a:gsLst>
            <a:gs pos="0">
              <a:srgbClr val="3DABFD">
                <a:lumMod val="100000"/>
                <a:alpha val="81000"/>
              </a:srgbClr>
            </a:gs>
            <a:gs pos="100000">
              <a:srgbClr val="7EC7FE">
                <a:lumMod val="59000"/>
                <a:lumOff val="41000"/>
              </a:srgbClr>
            </a:gs>
          </a:gsLst>
          <a:lin ang="21594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101601</xdr:colOff>
      <xdr:row>0</xdr:row>
      <xdr:rowOff>135467</xdr:rowOff>
    </xdr:from>
    <xdr:to>
      <xdr:col>4</xdr:col>
      <xdr:colOff>143933</xdr:colOff>
      <xdr:row>44</xdr:row>
      <xdr:rowOff>54429</xdr:rowOff>
    </xdr:to>
    <xdr:sp macro="" textlink="">
      <xdr:nvSpPr>
        <xdr:cNvPr id="14" name="Rectangle: Rounded Corners 13">
          <a:extLst>
            <a:ext uri="{FF2B5EF4-FFF2-40B4-BE49-F238E27FC236}">
              <a16:creationId xmlns:a16="http://schemas.microsoft.com/office/drawing/2014/main" id="{72358B52-6C8D-4585-B925-E0D3748AE11A}"/>
            </a:ext>
          </a:extLst>
        </xdr:cNvPr>
        <xdr:cNvSpPr/>
      </xdr:nvSpPr>
      <xdr:spPr>
        <a:xfrm>
          <a:off x="101601" y="135467"/>
          <a:ext cx="2489968" cy="8046962"/>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186267</xdr:colOff>
      <xdr:row>0</xdr:row>
      <xdr:rowOff>127001</xdr:rowOff>
    </xdr:from>
    <xdr:to>
      <xdr:col>30</xdr:col>
      <xdr:colOff>158338</xdr:colOff>
      <xdr:row>5</xdr:row>
      <xdr:rowOff>59267</xdr:rowOff>
    </xdr:to>
    <xdr:sp macro="" textlink="">
      <xdr:nvSpPr>
        <xdr:cNvPr id="15" name="Rectangle: Rounded Corners 14">
          <a:extLst>
            <a:ext uri="{FF2B5EF4-FFF2-40B4-BE49-F238E27FC236}">
              <a16:creationId xmlns:a16="http://schemas.microsoft.com/office/drawing/2014/main" id="{16DF2A87-3467-4A0E-A0F5-40935BFADC15}"/>
            </a:ext>
          </a:extLst>
        </xdr:cNvPr>
        <xdr:cNvSpPr/>
      </xdr:nvSpPr>
      <xdr:spPr>
        <a:xfrm>
          <a:off x="2605315" y="127001"/>
          <a:ext cx="15695880" cy="839409"/>
        </a:xfrm>
        <a:prstGeom prst="roundRect">
          <a:avLst>
            <a:gd name="adj" fmla="val 14018"/>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194733</xdr:colOff>
      <xdr:row>5</xdr:row>
      <xdr:rowOff>127000</xdr:rowOff>
    </xdr:from>
    <xdr:to>
      <xdr:col>13</xdr:col>
      <xdr:colOff>272143</xdr:colOff>
      <xdr:row>24</xdr:row>
      <xdr:rowOff>119742</xdr:rowOff>
    </xdr:to>
    <xdr:sp macro="" textlink="">
      <xdr:nvSpPr>
        <xdr:cNvPr id="16" name="Rectangle: Rounded Corners 15">
          <a:extLst>
            <a:ext uri="{FF2B5EF4-FFF2-40B4-BE49-F238E27FC236}">
              <a16:creationId xmlns:a16="http://schemas.microsoft.com/office/drawing/2014/main" id="{8E0561CD-FC54-4D12-8244-A202E5297D1F}"/>
            </a:ext>
          </a:extLst>
        </xdr:cNvPr>
        <xdr:cNvSpPr/>
      </xdr:nvSpPr>
      <xdr:spPr>
        <a:xfrm>
          <a:off x="2633133" y="1052286"/>
          <a:ext cx="5563810" cy="3508827"/>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504701</xdr:colOff>
      <xdr:row>5</xdr:row>
      <xdr:rowOff>127000</xdr:rowOff>
    </xdr:from>
    <xdr:to>
      <xdr:col>30</xdr:col>
      <xdr:colOff>158338</xdr:colOff>
      <xdr:row>29</xdr:row>
      <xdr:rowOff>32656</xdr:rowOff>
    </xdr:to>
    <xdr:sp macro="" textlink="">
      <xdr:nvSpPr>
        <xdr:cNvPr id="25" name="Rectangle: Rounded Corners 24">
          <a:extLst>
            <a:ext uri="{FF2B5EF4-FFF2-40B4-BE49-F238E27FC236}">
              <a16:creationId xmlns:a16="http://schemas.microsoft.com/office/drawing/2014/main" id="{F3EBA928-F0F2-4738-ACFE-8DD166B78805}"/>
            </a:ext>
          </a:extLst>
        </xdr:cNvPr>
        <xdr:cNvSpPr/>
      </xdr:nvSpPr>
      <xdr:spPr>
        <a:xfrm>
          <a:off x="13915901" y="1052286"/>
          <a:ext cx="4530437" cy="4347027"/>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449580</xdr:colOff>
      <xdr:row>24</xdr:row>
      <xdr:rowOff>22860</xdr:rowOff>
    </xdr:from>
    <xdr:to>
      <xdr:col>16</xdr:col>
      <xdr:colOff>487680</xdr:colOff>
      <xdr:row>37</xdr:row>
      <xdr:rowOff>4010</xdr:rowOff>
    </xdr:to>
    <xdr:graphicFrame macro="">
      <xdr:nvGraphicFramePr>
        <xdr:cNvPr id="29" name="Chart 28">
          <a:extLst>
            <a:ext uri="{FF2B5EF4-FFF2-40B4-BE49-F238E27FC236}">
              <a16:creationId xmlns:a16="http://schemas.microsoft.com/office/drawing/2014/main" id="{B702CB39-678E-428B-9975-1A0C2C5DED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242992</xdr:colOff>
      <xdr:row>6</xdr:row>
      <xdr:rowOff>0</xdr:rowOff>
    </xdr:from>
    <xdr:to>
      <xdr:col>28</xdr:col>
      <xdr:colOff>68558</xdr:colOff>
      <xdr:row>8</xdr:row>
      <xdr:rowOff>82627</xdr:rowOff>
    </xdr:to>
    <xdr:sp macro="" textlink="">
      <xdr:nvSpPr>
        <xdr:cNvPr id="34" name="TextBox 33">
          <a:extLst>
            <a:ext uri="{FF2B5EF4-FFF2-40B4-BE49-F238E27FC236}">
              <a16:creationId xmlns:a16="http://schemas.microsoft.com/office/drawing/2014/main" id="{F6856C9C-2200-415F-B76A-2757C9BBE718}"/>
            </a:ext>
          </a:extLst>
        </xdr:cNvPr>
        <xdr:cNvSpPr txBox="1"/>
      </xdr:nvSpPr>
      <xdr:spPr>
        <a:xfrm>
          <a:off x="14354836" y="1068779"/>
          <a:ext cx="2893358" cy="4388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3903FD"/>
              </a:solidFill>
              <a:latin typeface="Times New Roman" panose="02020603050405020304" pitchFamily="18" charset="0"/>
              <a:cs typeface="Times New Roman" panose="02020603050405020304" pitchFamily="18" charset="0"/>
            </a:rPr>
            <a:t>Indian</a:t>
          </a:r>
          <a:r>
            <a:rPr lang="en-IN" sz="2000" b="1" baseline="0">
              <a:solidFill>
                <a:srgbClr val="3903FD"/>
              </a:solidFill>
              <a:latin typeface="Times New Roman" panose="02020603050405020304" pitchFamily="18" charset="0"/>
              <a:cs typeface="Times New Roman" panose="02020603050405020304" pitchFamily="18" charset="0"/>
            </a:rPr>
            <a:t> Population Map</a:t>
          </a:r>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156073</xdr:colOff>
      <xdr:row>5</xdr:row>
      <xdr:rowOff>156073</xdr:rowOff>
    </xdr:from>
    <xdr:to>
      <xdr:col>8</xdr:col>
      <xdr:colOff>228600</xdr:colOff>
      <xdr:row>8</xdr:row>
      <xdr:rowOff>55085</xdr:rowOff>
    </xdr:to>
    <xdr:sp macro="" textlink="">
      <xdr:nvSpPr>
        <xdr:cNvPr id="36" name="TextBox 35">
          <a:extLst>
            <a:ext uri="{FF2B5EF4-FFF2-40B4-BE49-F238E27FC236}">
              <a16:creationId xmlns:a16="http://schemas.microsoft.com/office/drawing/2014/main" id="{58456347-2FB3-42C7-A2B5-AF942C764716}"/>
            </a:ext>
          </a:extLst>
        </xdr:cNvPr>
        <xdr:cNvSpPr txBox="1"/>
      </xdr:nvSpPr>
      <xdr:spPr>
        <a:xfrm>
          <a:off x="2594473" y="1081359"/>
          <a:ext cx="2510927" cy="454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3903FD"/>
              </a:solidFill>
              <a:latin typeface="Times New Roman" panose="02020603050405020304" pitchFamily="18" charset="0"/>
              <a:cs typeface="Times New Roman" panose="02020603050405020304" pitchFamily="18" charset="0"/>
            </a:rPr>
            <a:t>Top</a:t>
          </a:r>
          <a:r>
            <a:rPr lang="en-IN" sz="1600" b="1" baseline="0">
              <a:solidFill>
                <a:srgbClr val="3903FD"/>
              </a:solidFill>
              <a:latin typeface="Times New Roman" panose="02020603050405020304" pitchFamily="18" charset="0"/>
              <a:cs typeface="Times New Roman" panose="02020603050405020304" pitchFamily="18" charset="0"/>
            </a:rPr>
            <a:t> 5 Populated States </a:t>
          </a:r>
          <a:endParaRPr lang="en-IN" sz="16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544285</xdr:colOff>
      <xdr:row>29</xdr:row>
      <xdr:rowOff>141515</xdr:rowOff>
    </xdr:from>
    <xdr:to>
      <xdr:col>30</xdr:col>
      <xdr:colOff>217714</xdr:colOff>
      <xdr:row>44</xdr:row>
      <xdr:rowOff>32658</xdr:rowOff>
    </xdr:to>
    <xdr:sp macro="" textlink="">
      <xdr:nvSpPr>
        <xdr:cNvPr id="47" name="Rectangle: Rounded Corners 46">
          <a:extLst>
            <a:ext uri="{FF2B5EF4-FFF2-40B4-BE49-F238E27FC236}">
              <a16:creationId xmlns:a16="http://schemas.microsoft.com/office/drawing/2014/main" id="{C0DA1D1C-4794-443D-820D-0EE32EC30100}"/>
            </a:ext>
          </a:extLst>
        </xdr:cNvPr>
        <xdr:cNvSpPr/>
      </xdr:nvSpPr>
      <xdr:spPr>
        <a:xfrm>
          <a:off x="14048618" y="5359098"/>
          <a:ext cx="4584096" cy="2589893"/>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358018</xdr:colOff>
      <xdr:row>5</xdr:row>
      <xdr:rowOff>127000</xdr:rowOff>
    </xdr:from>
    <xdr:to>
      <xdr:col>22</xdr:col>
      <xdr:colOff>435428</xdr:colOff>
      <xdr:row>24</xdr:row>
      <xdr:rowOff>119742</xdr:rowOff>
    </xdr:to>
    <xdr:sp macro="" textlink="">
      <xdr:nvSpPr>
        <xdr:cNvPr id="50" name="Rectangle: Rounded Corners 49">
          <a:extLst>
            <a:ext uri="{FF2B5EF4-FFF2-40B4-BE49-F238E27FC236}">
              <a16:creationId xmlns:a16="http://schemas.microsoft.com/office/drawing/2014/main" id="{5B999DC8-5336-40D6-993E-BAB70F4C0C62}"/>
            </a:ext>
          </a:extLst>
        </xdr:cNvPr>
        <xdr:cNvSpPr/>
      </xdr:nvSpPr>
      <xdr:spPr>
        <a:xfrm>
          <a:off x="8282818" y="1052286"/>
          <a:ext cx="5563810" cy="3508827"/>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194733</xdr:colOff>
      <xdr:row>25</xdr:row>
      <xdr:rowOff>61686</xdr:rowOff>
    </xdr:from>
    <xdr:to>
      <xdr:col>13</xdr:col>
      <xdr:colOff>272143</xdr:colOff>
      <xdr:row>44</xdr:row>
      <xdr:rowOff>54428</xdr:rowOff>
    </xdr:to>
    <xdr:sp macro="" textlink="">
      <xdr:nvSpPr>
        <xdr:cNvPr id="51" name="Rectangle: Rounded Corners 50">
          <a:extLst>
            <a:ext uri="{FF2B5EF4-FFF2-40B4-BE49-F238E27FC236}">
              <a16:creationId xmlns:a16="http://schemas.microsoft.com/office/drawing/2014/main" id="{75E85D1C-0F24-4BAF-A0DA-CD82EB2AA824}"/>
            </a:ext>
          </a:extLst>
        </xdr:cNvPr>
        <xdr:cNvSpPr/>
      </xdr:nvSpPr>
      <xdr:spPr>
        <a:xfrm>
          <a:off x="2633133" y="4688115"/>
          <a:ext cx="5563810" cy="3508827"/>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358018</xdr:colOff>
      <xdr:row>25</xdr:row>
      <xdr:rowOff>61686</xdr:rowOff>
    </xdr:from>
    <xdr:to>
      <xdr:col>22</xdr:col>
      <xdr:colOff>435428</xdr:colOff>
      <xdr:row>44</xdr:row>
      <xdr:rowOff>54428</xdr:rowOff>
    </xdr:to>
    <xdr:sp macro="" textlink="">
      <xdr:nvSpPr>
        <xdr:cNvPr id="55" name="Rectangle: Rounded Corners 54">
          <a:extLst>
            <a:ext uri="{FF2B5EF4-FFF2-40B4-BE49-F238E27FC236}">
              <a16:creationId xmlns:a16="http://schemas.microsoft.com/office/drawing/2014/main" id="{2BC6F6EE-4E8C-403A-9F23-97AB3B758B24}"/>
            </a:ext>
          </a:extLst>
        </xdr:cNvPr>
        <xdr:cNvSpPr/>
      </xdr:nvSpPr>
      <xdr:spPr>
        <a:xfrm>
          <a:off x="8282818" y="4688115"/>
          <a:ext cx="5563810" cy="3508827"/>
        </a:xfrm>
        <a:prstGeom prst="roundRect">
          <a:avLst>
            <a:gd name="adj" fmla="val 586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147609</xdr:colOff>
      <xdr:row>8</xdr:row>
      <xdr:rowOff>148961</xdr:rowOff>
    </xdr:from>
    <xdr:to>
      <xdr:col>4</xdr:col>
      <xdr:colOff>110290</xdr:colOff>
      <xdr:row>18</xdr:row>
      <xdr:rowOff>100261</xdr:rowOff>
    </xdr:to>
    <mc:AlternateContent xmlns:mc="http://schemas.openxmlformats.org/markup-compatibility/2006" xmlns:a14="http://schemas.microsoft.com/office/drawing/2010/main">
      <mc:Choice Requires="a14">
        <xdr:graphicFrame macro="">
          <xdr:nvGraphicFramePr>
            <xdr:cNvPr id="56" name="Region">
              <a:extLst>
                <a:ext uri="{FF2B5EF4-FFF2-40B4-BE49-F238E27FC236}">
                  <a16:creationId xmlns:a16="http://schemas.microsoft.com/office/drawing/2014/main" id="{D1DAF6BC-CB3E-4754-8CC3-301E5185CB5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47609" y="1592750"/>
              <a:ext cx="2409102" cy="17560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250371</xdr:colOff>
      <xdr:row>8</xdr:row>
      <xdr:rowOff>54428</xdr:rowOff>
    </xdr:from>
    <xdr:to>
      <xdr:col>13</xdr:col>
      <xdr:colOff>217714</xdr:colOff>
      <xdr:row>24</xdr:row>
      <xdr:rowOff>32658</xdr:rowOff>
    </xdr:to>
    <xdr:graphicFrame macro="">
      <xdr:nvGraphicFramePr>
        <xdr:cNvPr id="58" name="Chart 57">
          <a:extLst>
            <a:ext uri="{FF2B5EF4-FFF2-40B4-BE49-F238E27FC236}">
              <a16:creationId xmlns:a16="http://schemas.microsoft.com/office/drawing/2014/main" id="{63B1636C-7D76-4376-9A08-3AF9A6374C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336247</xdr:colOff>
      <xdr:row>8</xdr:row>
      <xdr:rowOff>159656</xdr:rowOff>
    </xdr:from>
    <xdr:to>
      <xdr:col>22</xdr:col>
      <xdr:colOff>429847</xdr:colOff>
      <xdr:row>24</xdr:row>
      <xdr:rowOff>136342</xdr:rowOff>
    </xdr:to>
    <xdr:graphicFrame macro="">
      <xdr:nvGraphicFramePr>
        <xdr:cNvPr id="59" name="Chart 58">
          <a:extLst>
            <a:ext uri="{FF2B5EF4-FFF2-40B4-BE49-F238E27FC236}">
              <a16:creationId xmlns:a16="http://schemas.microsoft.com/office/drawing/2014/main" id="{2A4095B2-9F03-4322-BB9A-3F0166664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478972</xdr:colOff>
      <xdr:row>8</xdr:row>
      <xdr:rowOff>163286</xdr:rowOff>
    </xdr:from>
    <xdr:to>
      <xdr:col>30</xdr:col>
      <xdr:colOff>54429</xdr:colOff>
      <xdr:row>29</xdr:row>
      <xdr:rowOff>1</xdr:rowOff>
    </xdr:to>
    <mc:AlternateContent xmlns:mc="http://schemas.openxmlformats.org/markup-compatibility/2006">
      <mc:Choice xmlns:cx4="http://schemas.microsoft.com/office/drawing/2016/5/10/chartex" Requires="cx4">
        <xdr:graphicFrame macro="">
          <xdr:nvGraphicFramePr>
            <xdr:cNvPr id="61" name="Chart 60">
              <a:extLst>
                <a:ext uri="{FF2B5EF4-FFF2-40B4-BE49-F238E27FC236}">
                  <a16:creationId xmlns:a16="http://schemas.microsoft.com/office/drawing/2014/main" id="{CEB8DDE2-E79B-4E0D-80A2-0EF2BDA35BA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3890172" y="1626326"/>
              <a:ext cx="4452257" cy="367719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468086</xdr:colOff>
      <xdr:row>27</xdr:row>
      <xdr:rowOff>76200</xdr:rowOff>
    </xdr:from>
    <xdr:to>
      <xdr:col>28</xdr:col>
      <xdr:colOff>370114</xdr:colOff>
      <xdr:row>28</xdr:row>
      <xdr:rowOff>119743</xdr:rowOff>
    </xdr:to>
    <xdr:sp macro="" textlink="">
      <xdr:nvSpPr>
        <xdr:cNvPr id="3" name="Rectangle 2">
          <a:extLst>
            <a:ext uri="{FF2B5EF4-FFF2-40B4-BE49-F238E27FC236}">
              <a16:creationId xmlns:a16="http://schemas.microsoft.com/office/drawing/2014/main" id="{E6AEE902-D1DF-4CBF-BB47-4B2BA9ADF7CA}"/>
            </a:ext>
          </a:extLst>
        </xdr:cNvPr>
        <xdr:cNvSpPr/>
      </xdr:nvSpPr>
      <xdr:spPr>
        <a:xfrm>
          <a:off x="16317686" y="5072743"/>
          <a:ext cx="1121228" cy="2286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423333</xdr:colOff>
      <xdr:row>28</xdr:row>
      <xdr:rowOff>61687</xdr:rowOff>
    </xdr:from>
    <xdr:to>
      <xdr:col>22</xdr:col>
      <xdr:colOff>390933</xdr:colOff>
      <xdr:row>44</xdr:row>
      <xdr:rowOff>38373</xdr:rowOff>
    </xdr:to>
    <xdr:graphicFrame macro="">
      <xdr:nvGraphicFramePr>
        <xdr:cNvPr id="62" name="Chart 61">
          <a:extLst>
            <a:ext uri="{FF2B5EF4-FFF2-40B4-BE49-F238E27FC236}">
              <a16:creationId xmlns:a16="http://schemas.microsoft.com/office/drawing/2014/main" id="{F66A6AA4-9DD3-4F62-947C-724C2DC07C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261258</xdr:colOff>
      <xdr:row>28</xdr:row>
      <xdr:rowOff>65314</xdr:rowOff>
    </xdr:from>
    <xdr:to>
      <xdr:col>13</xdr:col>
      <xdr:colOff>228858</xdr:colOff>
      <xdr:row>44</xdr:row>
      <xdr:rowOff>42000</xdr:rowOff>
    </xdr:to>
    <xdr:graphicFrame macro="">
      <xdr:nvGraphicFramePr>
        <xdr:cNvPr id="63" name="Chart 62">
          <a:extLst>
            <a:ext uri="{FF2B5EF4-FFF2-40B4-BE49-F238E27FC236}">
              <a16:creationId xmlns:a16="http://schemas.microsoft.com/office/drawing/2014/main" id="{1DC39CED-BD7E-4893-9A70-195DE88BDD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598713</xdr:colOff>
      <xdr:row>32</xdr:row>
      <xdr:rowOff>119742</xdr:rowOff>
    </xdr:from>
    <xdr:to>
      <xdr:col>26</xdr:col>
      <xdr:colOff>304800</xdr:colOff>
      <xdr:row>44</xdr:row>
      <xdr:rowOff>157239</xdr:rowOff>
    </xdr:to>
    <xdr:graphicFrame macro="">
      <xdr:nvGraphicFramePr>
        <xdr:cNvPr id="64" name="Chart 63">
          <a:extLst>
            <a:ext uri="{FF2B5EF4-FFF2-40B4-BE49-F238E27FC236}">
              <a16:creationId xmlns:a16="http://schemas.microsoft.com/office/drawing/2014/main" id="{54888A14-0E92-4708-8934-4C954208DA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26</xdr:col>
      <xdr:colOff>555170</xdr:colOff>
      <xdr:row>32</xdr:row>
      <xdr:rowOff>97972</xdr:rowOff>
    </xdr:from>
    <xdr:to>
      <xdr:col>30</xdr:col>
      <xdr:colOff>262370</xdr:colOff>
      <xdr:row>44</xdr:row>
      <xdr:rowOff>134487</xdr:rowOff>
    </xdr:to>
    <xdr:graphicFrame macro="">
      <xdr:nvGraphicFramePr>
        <xdr:cNvPr id="65" name="Chart 64">
          <a:extLst>
            <a:ext uri="{FF2B5EF4-FFF2-40B4-BE49-F238E27FC236}">
              <a16:creationId xmlns:a16="http://schemas.microsoft.com/office/drawing/2014/main" id="{4896D491-8277-4E8D-95F9-8BECA48F87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63853</xdr:colOff>
      <xdr:row>37</xdr:row>
      <xdr:rowOff>169135</xdr:rowOff>
    </xdr:from>
    <xdr:to>
      <xdr:col>25</xdr:col>
      <xdr:colOff>314224</xdr:colOff>
      <xdr:row>41</xdr:row>
      <xdr:rowOff>19822</xdr:rowOff>
    </xdr:to>
    <xdr:sp macro="" textlink="Analysis!E114">
      <xdr:nvSpPr>
        <xdr:cNvPr id="4" name="TextBox 3">
          <a:extLst>
            <a:ext uri="{FF2B5EF4-FFF2-40B4-BE49-F238E27FC236}">
              <a16:creationId xmlns:a16="http://schemas.microsoft.com/office/drawing/2014/main" id="{BFCC9C34-F6FA-4D5F-B31A-2D2ABD5B04F6}"/>
            </a:ext>
          </a:extLst>
        </xdr:cNvPr>
        <xdr:cNvSpPr txBox="1"/>
      </xdr:nvSpPr>
      <xdr:spPr>
        <a:xfrm>
          <a:off x="14803435" y="6902031"/>
          <a:ext cx="864520" cy="57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C036BC-1EF8-4A8D-A2B6-40F344BD8385}" type="TxLink">
            <a:rPr lang="en-US" sz="2800" b="1" i="0" u="none" strike="noStrike">
              <a:solidFill>
                <a:srgbClr val="3DABFD"/>
              </a:solidFill>
              <a:latin typeface="Calibri"/>
              <a:cs typeface="Calibri"/>
            </a:rPr>
            <a:pPr/>
            <a:t>0.830484239</a:t>
          </a:fld>
          <a:endParaRPr lang="en-IN" sz="6000" b="1">
            <a:solidFill>
              <a:srgbClr val="3DABFD"/>
            </a:solidFill>
          </a:endParaRPr>
        </a:p>
      </xdr:txBody>
    </xdr:sp>
    <xdr:clientData/>
  </xdr:twoCellAnchor>
  <xdr:twoCellAnchor>
    <xdr:from>
      <xdr:col>27</xdr:col>
      <xdr:colOff>576943</xdr:colOff>
      <xdr:row>38</xdr:row>
      <xdr:rowOff>10887</xdr:rowOff>
    </xdr:from>
    <xdr:to>
      <xdr:col>29</xdr:col>
      <xdr:colOff>555171</xdr:colOff>
      <xdr:row>41</xdr:row>
      <xdr:rowOff>43544</xdr:rowOff>
    </xdr:to>
    <xdr:sp macro="" textlink="Analysis!I114">
      <xdr:nvSpPr>
        <xdr:cNvPr id="67" name="TextBox 66">
          <a:extLst>
            <a:ext uri="{FF2B5EF4-FFF2-40B4-BE49-F238E27FC236}">
              <a16:creationId xmlns:a16="http://schemas.microsoft.com/office/drawing/2014/main" id="{7F77EE24-2A37-45AB-86EC-79393A1874E5}"/>
            </a:ext>
          </a:extLst>
        </xdr:cNvPr>
        <xdr:cNvSpPr txBox="1"/>
      </xdr:nvSpPr>
      <xdr:spPr>
        <a:xfrm>
          <a:off x="17158973" y="6925753"/>
          <a:ext cx="1206526" cy="5785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88C96BA-FAA2-4C46-81F8-4CBD97B9E655}" type="TxLink">
            <a:rPr lang="en-US" sz="2800" b="1" i="0" u="none" strike="noStrike">
              <a:solidFill>
                <a:srgbClr val="DC2AEA"/>
              </a:solidFill>
              <a:latin typeface="Calibri"/>
              <a:cs typeface="Calibri"/>
            </a:rPr>
            <a:pPr/>
            <a:t>0.940509993</a:t>
          </a:fld>
          <a:endParaRPr lang="en-IN" sz="13800" b="1">
            <a:solidFill>
              <a:srgbClr val="DC2AEA"/>
            </a:solidFill>
          </a:endParaRPr>
        </a:p>
      </xdr:txBody>
    </xdr:sp>
    <xdr:clientData/>
  </xdr:twoCellAnchor>
  <xdr:twoCellAnchor>
    <xdr:from>
      <xdr:col>13</xdr:col>
      <xdr:colOff>591500</xdr:colOff>
      <xdr:row>5</xdr:row>
      <xdr:rowOff>156073</xdr:rowOff>
    </xdr:from>
    <xdr:to>
      <xdr:col>20</xdr:col>
      <xdr:colOff>609599</xdr:colOff>
      <xdr:row>8</xdr:row>
      <xdr:rowOff>55085</xdr:rowOff>
    </xdr:to>
    <xdr:sp macro="" textlink="">
      <xdr:nvSpPr>
        <xdr:cNvPr id="68" name="TextBox 67">
          <a:extLst>
            <a:ext uri="{FF2B5EF4-FFF2-40B4-BE49-F238E27FC236}">
              <a16:creationId xmlns:a16="http://schemas.microsoft.com/office/drawing/2014/main" id="{4093014E-6569-4585-98DE-D2EA5AC89B4C}"/>
            </a:ext>
          </a:extLst>
        </xdr:cNvPr>
        <xdr:cNvSpPr txBox="1"/>
      </xdr:nvSpPr>
      <xdr:spPr>
        <a:xfrm>
          <a:off x="8516300" y="1081359"/>
          <a:ext cx="4285299" cy="454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3903FD"/>
              </a:solidFill>
              <a:latin typeface="Times New Roman" panose="02020603050405020304" pitchFamily="18" charset="0"/>
              <a:cs typeface="Times New Roman" panose="02020603050405020304" pitchFamily="18" charset="0"/>
            </a:rPr>
            <a:t>Top</a:t>
          </a:r>
          <a:r>
            <a:rPr lang="en-IN" sz="1600" b="1" baseline="0">
              <a:solidFill>
                <a:srgbClr val="3903FD"/>
              </a:solidFill>
              <a:latin typeface="Times New Roman" panose="02020603050405020304" pitchFamily="18" charset="0"/>
              <a:cs typeface="Times New Roman" panose="02020603050405020304" pitchFamily="18" charset="0"/>
            </a:rPr>
            <a:t> 5 States With Highest Gender Distribution</a:t>
          </a:r>
          <a:endParaRPr lang="en-IN" sz="16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569730</xdr:colOff>
      <xdr:row>25</xdr:row>
      <xdr:rowOff>134301</xdr:rowOff>
    </xdr:from>
    <xdr:to>
      <xdr:col>19</xdr:col>
      <xdr:colOff>587829</xdr:colOff>
      <xdr:row>28</xdr:row>
      <xdr:rowOff>33313</xdr:rowOff>
    </xdr:to>
    <xdr:sp macro="" textlink="">
      <xdr:nvSpPr>
        <xdr:cNvPr id="73" name="TextBox 72">
          <a:extLst>
            <a:ext uri="{FF2B5EF4-FFF2-40B4-BE49-F238E27FC236}">
              <a16:creationId xmlns:a16="http://schemas.microsoft.com/office/drawing/2014/main" id="{C3BF18AD-C837-4AE0-B796-8F7E77AE420F}"/>
            </a:ext>
          </a:extLst>
        </xdr:cNvPr>
        <xdr:cNvSpPr txBox="1"/>
      </xdr:nvSpPr>
      <xdr:spPr>
        <a:xfrm>
          <a:off x="8494530" y="4760730"/>
          <a:ext cx="3675699" cy="454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3903FD"/>
              </a:solidFill>
              <a:latin typeface="Times New Roman" panose="02020603050405020304" pitchFamily="18" charset="0"/>
              <a:cs typeface="Times New Roman" panose="02020603050405020304" pitchFamily="18" charset="0"/>
            </a:rPr>
            <a:t>Top</a:t>
          </a:r>
          <a:r>
            <a:rPr lang="en-IN" sz="1600" b="1" baseline="0">
              <a:solidFill>
                <a:srgbClr val="3903FD"/>
              </a:solidFill>
              <a:latin typeface="Times New Roman" panose="02020603050405020304" pitchFamily="18" charset="0"/>
              <a:cs typeface="Times New Roman" panose="02020603050405020304" pitchFamily="18" charset="0"/>
            </a:rPr>
            <a:t> 5 States With Highest Sex Ratio</a:t>
          </a:r>
          <a:endParaRPr lang="en-IN" sz="16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145186</xdr:colOff>
      <xdr:row>25</xdr:row>
      <xdr:rowOff>90758</xdr:rowOff>
    </xdr:from>
    <xdr:to>
      <xdr:col>12</xdr:col>
      <xdr:colOff>261257</xdr:colOff>
      <xdr:row>29</xdr:row>
      <xdr:rowOff>0</xdr:rowOff>
    </xdr:to>
    <xdr:sp macro="" textlink="">
      <xdr:nvSpPr>
        <xdr:cNvPr id="74" name="TextBox 73">
          <a:extLst>
            <a:ext uri="{FF2B5EF4-FFF2-40B4-BE49-F238E27FC236}">
              <a16:creationId xmlns:a16="http://schemas.microsoft.com/office/drawing/2014/main" id="{4DB652FA-12D6-43A9-9AB8-268AA1B67293}"/>
            </a:ext>
          </a:extLst>
        </xdr:cNvPr>
        <xdr:cNvSpPr txBox="1"/>
      </xdr:nvSpPr>
      <xdr:spPr>
        <a:xfrm>
          <a:off x="3193186" y="4717187"/>
          <a:ext cx="4383271" cy="649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rgbClr val="3903FD"/>
              </a:solidFill>
              <a:latin typeface="Times New Roman" panose="02020603050405020304" pitchFamily="18" charset="0"/>
              <a:cs typeface="Times New Roman" panose="02020603050405020304" pitchFamily="18" charset="0"/>
            </a:rPr>
            <a:t>Top</a:t>
          </a:r>
          <a:r>
            <a:rPr lang="en-IN" sz="1600" b="1" baseline="0">
              <a:solidFill>
                <a:srgbClr val="3903FD"/>
              </a:solidFill>
              <a:latin typeface="Times New Roman" panose="02020603050405020304" pitchFamily="18" charset="0"/>
              <a:cs typeface="Times New Roman" panose="02020603050405020304" pitchFamily="18" charset="0"/>
            </a:rPr>
            <a:t> 5 States With Highest Difference between Male And Female </a:t>
          </a:r>
          <a:endParaRPr lang="en-IN" sz="16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177847</xdr:colOff>
      <xdr:row>29</xdr:row>
      <xdr:rowOff>101644</xdr:rowOff>
    </xdr:from>
    <xdr:to>
      <xdr:col>29</xdr:col>
      <xdr:colOff>370115</xdr:colOff>
      <xdr:row>33</xdr:row>
      <xdr:rowOff>141514</xdr:rowOff>
    </xdr:to>
    <xdr:sp macro="" textlink="">
      <xdr:nvSpPr>
        <xdr:cNvPr id="77" name="TextBox 76">
          <a:extLst>
            <a:ext uri="{FF2B5EF4-FFF2-40B4-BE49-F238E27FC236}">
              <a16:creationId xmlns:a16="http://schemas.microsoft.com/office/drawing/2014/main" id="{9D740B77-F036-4EF0-B08A-AC0CE3FA8922}"/>
            </a:ext>
          </a:extLst>
        </xdr:cNvPr>
        <xdr:cNvSpPr txBox="1"/>
      </xdr:nvSpPr>
      <xdr:spPr>
        <a:xfrm>
          <a:off x="14198647" y="5468301"/>
          <a:ext cx="3849868" cy="780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i="0" u="none" strike="noStrike">
              <a:solidFill>
                <a:srgbClr val="3903FD"/>
              </a:solidFill>
              <a:effectLst/>
              <a:latin typeface="Times New Roman" panose="02020603050405020304" pitchFamily="18" charset="0"/>
              <a:ea typeface="+mn-ea"/>
              <a:cs typeface="Times New Roman" panose="02020603050405020304" pitchFamily="18" charset="0"/>
            </a:rPr>
            <a:t>Top 5 States with Highest Percentage of</a:t>
          </a:r>
          <a:r>
            <a:rPr lang="en-IN" sz="1600" b="1" i="0" u="none" strike="noStrike" baseline="0">
              <a:solidFill>
                <a:srgbClr val="3903FD"/>
              </a:solidFill>
              <a:effectLst/>
              <a:latin typeface="Times New Roman" panose="02020603050405020304" pitchFamily="18" charset="0"/>
              <a:ea typeface="+mn-ea"/>
              <a:cs typeface="Times New Roman" panose="02020603050405020304" pitchFamily="18" charset="0"/>
            </a:rPr>
            <a:t> Gender</a:t>
          </a:r>
          <a:r>
            <a:rPr lang="en-IN" sz="1600" b="1" i="0" u="none" strike="noStrike">
              <a:solidFill>
                <a:srgbClr val="3903FD"/>
              </a:solidFill>
              <a:effectLst/>
              <a:latin typeface="Times New Roman" panose="02020603050405020304" pitchFamily="18" charset="0"/>
              <a:ea typeface="+mn-ea"/>
              <a:cs typeface="Times New Roman" panose="02020603050405020304" pitchFamily="18" charset="0"/>
            </a:rPr>
            <a:t> Distribution </a:t>
          </a:r>
          <a:endParaRPr lang="en-IN" sz="24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4</xdr:col>
      <xdr:colOff>185057</xdr:colOff>
      <xdr:row>1</xdr:row>
      <xdr:rowOff>54427</xdr:rowOff>
    </xdr:from>
    <xdr:to>
      <xdr:col>12</xdr:col>
      <xdr:colOff>533400</xdr:colOff>
      <xdr:row>4</xdr:row>
      <xdr:rowOff>43541</xdr:rowOff>
    </xdr:to>
    <xdr:sp macro="" textlink="">
      <xdr:nvSpPr>
        <xdr:cNvPr id="5" name="TextBox 4">
          <a:extLst>
            <a:ext uri="{FF2B5EF4-FFF2-40B4-BE49-F238E27FC236}">
              <a16:creationId xmlns:a16="http://schemas.microsoft.com/office/drawing/2014/main" id="{1347D831-B92F-4D1A-A448-D484E639C821}"/>
            </a:ext>
          </a:extLst>
        </xdr:cNvPr>
        <xdr:cNvSpPr txBox="1"/>
      </xdr:nvSpPr>
      <xdr:spPr>
        <a:xfrm>
          <a:off x="2623457" y="239484"/>
          <a:ext cx="5225143" cy="5442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1">
              <a:solidFill>
                <a:srgbClr val="3903FD"/>
              </a:solidFill>
              <a:latin typeface="Times New Roman" panose="02020603050405020304" pitchFamily="18" charset="0"/>
              <a:cs typeface="Times New Roman" panose="02020603050405020304" pitchFamily="18" charset="0"/>
            </a:rPr>
            <a:t>Gender Distribution</a:t>
          </a:r>
          <a:r>
            <a:rPr lang="en-IN" sz="2800" b="1" baseline="0">
              <a:solidFill>
                <a:srgbClr val="3903FD"/>
              </a:solidFill>
              <a:latin typeface="Times New Roman" panose="02020603050405020304" pitchFamily="18" charset="0"/>
              <a:cs typeface="Times New Roman" panose="02020603050405020304" pitchFamily="18" charset="0"/>
            </a:rPr>
            <a:t> DashBoard</a:t>
          </a:r>
          <a:endParaRPr lang="en-IN" sz="28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editAs="oneCell">
    <xdr:from>
      <xdr:col>0</xdr:col>
      <xdr:colOff>601578</xdr:colOff>
      <xdr:row>1</xdr:row>
      <xdr:rowOff>160422</xdr:rowOff>
    </xdr:from>
    <xdr:to>
      <xdr:col>2</xdr:col>
      <xdr:colOff>292767</xdr:colOff>
      <xdr:row>6</xdr:row>
      <xdr:rowOff>172454</xdr:rowOff>
    </xdr:to>
    <xdr:pic>
      <xdr:nvPicPr>
        <xdr:cNvPr id="8" name="Graphic 7" descr="Man">
          <a:extLst>
            <a:ext uri="{FF2B5EF4-FFF2-40B4-BE49-F238E27FC236}">
              <a16:creationId xmlns:a16="http://schemas.microsoft.com/office/drawing/2014/main" id="{2B210FD1-3320-45D4-A7DE-C747FA30E5E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01578" y="340896"/>
          <a:ext cx="914400" cy="914400"/>
        </a:xfrm>
        <a:prstGeom prst="rect">
          <a:avLst/>
        </a:prstGeom>
      </xdr:spPr>
    </xdr:pic>
    <xdr:clientData/>
  </xdr:twoCellAnchor>
  <xdr:twoCellAnchor editAs="oneCell">
    <xdr:from>
      <xdr:col>1</xdr:col>
      <xdr:colOff>571106</xdr:colOff>
      <xdr:row>1</xdr:row>
      <xdr:rowOff>149999</xdr:rowOff>
    </xdr:from>
    <xdr:to>
      <xdr:col>3</xdr:col>
      <xdr:colOff>262295</xdr:colOff>
      <xdr:row>6</xdr:row>
      <xdr:rowOff>162031</xdr:rowOff>
    </xdr:to>
    <xdr:pic>
      <xdr:nvPicPr>
        <xdr:cNvPr id="10" name="Graphic 9" descr="Woman">
          <a:extLst>
            <a:ext uri="{FF2B5EF4-FFF2-40B4-BE49-F238E27FC236}">
              <a16:creationId xmlns:a16="http://schemas.microsoft.com/office/drawing/2014/main" id="{8B35985D-96D0-4436-9740-49A3A39EB63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182711" y="330473"/>
          <a:ext cx="914400" cy="914400"/>
        </a:xfrm>
        <a:prstGeom prst="rect">
          <a:avLst/>
        </a:prstGeom>
      </xdr:spPr>
    </xdr:pic>
    <xdr:clientData/>
  </xdr:twoCellAnchor>
  <xdr:twoCellAnchor editAs="oneCell">
    <xdr:from>
      <xdr:col>23</xdr:col>
      <xdr:colOff>582802</xdr:colOff>
      <xdr:row>0</xdr:row>
      <xdr:rowOff>158350</xdr:rowOff>
    </xdr:from>
    <xdr:to>
      <xdr:col>25</xdr:col>
      <xdr:colOff>194435</xdr:colOff>
      <xdr:row>5</xdr:row>
      <xdr:rowOff>83982</xdr:rowOff>
    </xdr:to>
    <xdr:pic>
      <xdr:nvPicPr>
        <xdr:cNvPr id="17" name="Graphic 16" descr="Presentation with pie chart">
          <a:hlinkClick xmlns:r="http://schemas.openxmlformats.org/officeDocument/2006/relationships" r:id="rId13"/>
          <a:extLst>
            <a:ext uri="{FF2B5EF4-FFF2-40B4-BE49-F238E27FC236}">
              <a16:creationId xmlns:a16="http://schemas.microsoft.com/office/drawing/2014/main" id="{D23EC43A-F419-4402-A268-B1966106FB6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4492326" y="158350"/>
          <a:ext cx="821157" cy="832775"/>
        </a:xfrm>
        <a:prstGeom prst="rect">
          <a:avLst/>
        </a:prstGeom>
      </xdr:spPr>
    </xdr:pic>
    <xdr:clientData/>
  </xdr:twoCellAnchor>
  <xdr:twoCellAnchor editAs="oneCell">
    <xdr:from>
      <xdr:col>14</xdr:col>
      <xdr:colOff>340502</xdr:colOff>
      <xdr:row>0</xdr:row>
      <xdr:rowOff>170052</xdr:rowOff>
    </xdr:from>
    <xdr:to>
      <xdr:col>15</xdr:col>
      <xdr:colOff>556897</xdr:colOff>
      <xdr:row>5</xdr:row>
      <xdr:rowOff>95684</xdr:rowOff>
    </xdr:to>
    <xdr:pic>
      <xdr:nvPicPr>
        <xdr:cNvPr id="19" name="Graphic 18" descr="Database">
          <a:hlinkClick xmlns:r="http://schemas.openxmlformats.org/officeDocument/2006/relationships" r:id="rId16"/>
          <a:extLst>
            <a:ext uri="{FF2B5EF4-FFF2-40B4-BE49-F238E27FC236}">
              <a16:creationId xmlns:a16="http://schemas.microsoft.com/office/drawing/2014/main" id="{69D5A58B-598E-46B7-B0A7-A4FA04BF736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8807169" y="170052"/>
          <a:ext cx="821157" cy="832775"/>
        </a:xfrm>
        <a:prstGeom prst="rect">
          <a:avLst/>
        </a:prstGeom>
      </xdr:spPr>
    </xdr:pic>
    <xdr:clientData/>
  </xdr:twoCellAnchor>
  <xdr:twoCellAnchor editAs="oneCell">
    <xdr:from>
      <xdr:col>19</xdr:col>
      <xdr:colOff>159272</xdr:colOff>
      <xdr:row>0</xdr:row>
      <xdr:rowOff>164201</xdr:rowOff>
    </xdr:from>
    <xdr:to>
      <xdr:col>20</xdr:col>
      <xdr:colOff>375666</xdr:colOff>
      <xdr:row>5</xdr:row>
      <xdr:rowOff>89833</xdr:rowOff>
    </xdr:to>
    <xdr:pic>
      <xdr:nvPicPr>
        <xdr:cNvPr id="21" name="Graphic 20" descr="Venn diagram">
          <a:hlinkClick xmlns:r="http://schemas.openxmlformats.org/officeDocument/2006/relationships" r:id="rId19"/>
          <a:extLst>
            <a:ext uri="{FF2B5EF4-FFF2-40B4-BE49-F238E27FC236}">
              <a16:creationId xmlns:a16="http://schemas.microsoft.com/office/drawing/2014/main" id="{FADBFCE2-3039-4229-9C3C-BDDF4A236F4F}"/>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1649748" y="164201"/>
          <a:ext cx="821156" cy="832775"/>
        </a:xfrm>
        <a:prstGeom prst="rect">
          <a:avLst/>
        </a:prstGeom>
      </xdr:spPr>
    </xdr:pic>
    <xdr:clientData/>
  </xdr:twoCellAnchor>
  <xdr:twoCellAnchor>
    <xdr:from>
      <xdr:col>15</xdr:col>
      <xdr:colOff>495904</xdr:colOff>
      <xdr:row>2</xdr:row>
      <xdr:rowOff>13040</xdr:rowOff>
    </xdr:from>
    <xdr:to>
      <xdr:col>17</xdr:col>
      <xdr:colOff>553206</xdr:colOff>
      <xdr:row>4</xdr:row>
      <xdr:rowOff>31183</xdr:rowOff>
    </xdr:to>
    <xdr:sp macro="" textlink="">
      <xdr:nvSpPr>
        <xdr:cNvPr id="54" name="TextBox 53">
          <a:extLst>
            <a:ext uri="{FF2B5EF4-FFF2-40B4-BE49-F238E27FC236}">
              <a16:creationId xmlns:a16="http://schemas.microsoft.com/office/drawing/2014/main" id="{59D5BD10-60C3-40E3-8919-30DF3AFCE246}"/>
            </a:ext>
          </a:extLst>
        </xdr:cNvPr>
        <xdr:cNvSpPr txBox="1"/>
      </xdr:nvSpPr>
      <xdr:spPr>
        <a:xfrm>
          <a:off x="9567333" y="375897"/>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Data</a:t>
          </a:r>
          <a:r>
            <a:rPr lang="en-IN" sz="2000" b="1" baseline="0">
              <a:solidFill>
                <a:srgbClr val="3903FD"/>
              </a:solidFill>
              <a:latin typeface="Times New Roman" panose="02020603050405020304" pitchFamily="18" charset="0"/>
              <a:cs typeface="Times New Roman" panose="02020603050405020304" pitchFamily="18" charset="0"/>
            </a:rPr>
            <a:t> </a:t>
          </a:r>
          <a:r>
            <a:rPr lang="en-IN" sz="2000" b="1">
              <a:solidFill>
                <a:srgbClr val="3903FD"/>
              </a:solidFill>
              <a:latin typeface="Times New Roman" panose="02020603050405020304" pitchFamily="18" charset="0"/>
              <a:cs typeface="Times New Roman" panose="02020603050405020304" pitchFamily="18" charset="0"/>
            </a:rPr>
            <a:t>Set</a:t>
          </a:r>
        </a:p>
      </xdr:txBody>
    </xdr:sp>
    <xdr:clientData/>
  </xdr:twoCellAnchor>
  <xdr:twoCellAnchor>
    <xdr:from>
      <xdr:col>20</xdr:col>
      <xdr:colOff>362857</xdr:colOff>
      <xdr:row>2</xdr:row>
      <xdr:rowOff>13040</xdr:rowOff>
    </xdr:from>
    <xdr:to>
      <xdr:col>22</xdr:col>
      <xdr:colOff>420158</xdr:colOff>
      <xdr:row>4</xdr:row>
      <xdr:rowOff>31183</xdr:rowOff>
    </xdr:to>
    <xdr:sp macro="" textlink="">
      <xdr:nvSpPr>
        <xdr:cNvPr id="57" name="TextBox 56">
          <a:extLst>
            <a:ext uri="{FF2B5EF4-FFF2-40B4-BE49-F238E27FC236}">
              <a16:creationId xmlns:a16="http://schemas.microsoft.com/office/drawing/2014/main" id="{23465543-2F42-451F-9D51-AC057C09929B}"/>
            </a:ext>
          </a:extLst>
        </xdr:cNvPr>
        <xdr:cNvSpPr txBox="1"/>
      </xdr:nvSpPr>
      <xdr:spPr>
        <a:xfrm>
          <a:off x="12458095" y="375897"/>
          <a:ext cx="126682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Analysis</a:t>
          </a:r>
        </a:p>
        <a:p>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25</xdr:col>
      <xdr:colOff>181428</xdr:colOff>
      <xdr:row>2</xdr:row>
      <xdr:rowOff>13039</xdr:rowOff>
    </xdr:from>
    <xdr:to>
      <xdr:col>27</xdr:col>
      <xdr:colOff>580572</xdr:colOff>
      <xdr:row>4</xdr:row>
      <xdr:rowOff>36285</xdr:rowOff>
    </xdr:to>
    <xdr:sp macro="" textlink="">
      <xdr:nvSpPr>
        <xdr:cNvPr id="60" name="TextBox 59">
          <a:extLst>
            <a:ext uri="{FF2B5EF4-FFF2-40B4-BE49-F238E27FC236}">
              <a16:creationId xmlns:a16="http://schemas.microsoft.com/office/drawing/2014/main" id="{032D82F8-8A23-45D6-80DF-A0257C8B235F}"/>
            </a:ext>
          </a:extLst>
        </xdr:cNvPr>
        <xdr:cNvSpPr txBox="1"/>
      </xdr:nvSpPr>
      <xdr:spPr>
        <a:xfrm>
          <a:off x="15300476" y="375896"/>
          <a:ext cx="1608667" cy="386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3903FD"/>
              </a:solidFill>
              <a:latin typeface="Times New Roman" panose="02020603050405020304" pitchFamily="18" charset="0"/>
              <a:cs typeface="Times New Roman" panose="02020603050405020304" pitchFamily="18" charset="0"/>
            </a:rPr>
            <a:t>Dash Board</a:t>
          </a:r>
        </a:p>
      </xdr:txBody>
    </xdr:sp>
    <xdr:clientData/>
  </xdr:twoCellAnchor>
  <xdr:twoCellAnchor>
    <xdr:from>
      <xdr:col>0</xdr:col>
      <xdr:colOff>188898</xdr:colOff>
      <xdr:row>19</xdr:row>
      <xdr:rowOff>45492</xdr:rowOff>
    </xdr:from>
    <xdr:to>
      <xdr:col>3</xdr:col>
      <xdr:colOff>568656</xdr:colOff>
      <xdr:row>23</xdr:row>
      <xdr:rowOff>22745</xdr:rowOff>
    </xdr:to>
    <xdr:sp macro="" textlink="">
      <xdr:nvSpPr>
        <xdr:cNvPr id="69" name="TextBox 68">
          <a:extLst>
            <a:ext uri="{FF2B5EF4-FFF2-40B4-BE49-F238E27FC236}">
              <a16:creationId xmlns:a16="http://schemas.microsoft.com/office/drawing/2014/main" id="{F6FE7B8B-1DC7-40CB-838B-3AFF3605DE30}"/>
            </a:ext>
          </a:extLst>
        </xdr:cNvPr>
        <xdr:cNvSpPr txBox="1"/>
      </xdr:nvSpPr>
      <xdr:spPr>
        <a:xfrm>
          <a:off x="188898" y="3502925"/>
          <a:ext cx="2222206" cy="705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a:solidFill>
                <a:srgbClr val="3903FD"/>
              </a:solidFill>
              <a:latin typeface="Times New Roman" panose="02020603050405020304" pitchFamily="18" charset="0"/>
              <a:cs typeface="Times New Roman" panose="02020603050405020304" pitchFamily="18" charset="0"/>
            </a:rPr>
            <a:t>Total</a:t>
          </a:r>
          <a:r>
            <a:rPr lang="en-IN" sz="2000" b="1" baseline="0">
              <a:solidFill>
                <a:srgbClr val="3903FD"/>
              </a:solidFill>
              <a:latin typeface="Times New Roman" panose="02020603050405020304" pitchFamily="18" charset="0"/>
              <a:cs typeface="Times New Roman" panose="02020603050405020304" pitchFamily="18" charset="0"/>
            </a:rPr>
            <a:t> Population By Region</a:t>
          </a:r>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220431</xdr:colOff>
      <xdr:row>32</xdr:row>
      <xdr:rowOff>90984</xdr:rowOff>
    </xdr:from>
    <xdr:to>
      <xdr:col>4</xdr:col>
      <xdr:colOff>329819</xdr:colOff>
      <xdr:row>38</xdr:row>
      <xdr:rowOff>68239</xdr:rowOff>
    </xdr:to>
    <xdr:sp macro="" textlink="">
      <xdr:nvSpPr>
        <xdr:cNvPr id="70" name="TextBox 69">
          <a:extLst>
            <a:ext uri="{FF2B5EF4-FFF2-40B4-BE49-F238E27FC236}">
              <a16:creationId xmlns:a16="http://schemas.microsoft.com/office/drawing/2014/main" id="{0BE99130-61AB-4050-9848-39439692C66D}"/>
            </a:ext>
          </a:extLst>
        </xdr:cNvPr>
        <xdr:cNvSpPr txBox="1"/>
      </xdr:nvSpPr>
      <xdr:spPr>
        <a:xfrm>
          <a:off x="220431" y="5914029"/>
          <a:ext cx="2565985" cy="106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a:solidFill>
                <a:srgbClr val="3903FD"/>
              </a:solidFill>
              <a:latin typeface="Times New Roman" panose="02020603050405020304" pitchFamily="18" charset="0"/>
              <a:cs typeface="Times New Roman" panose="02020603050405020304" pitchFamily="18" charset="0"/>
            </a:rPr>
            <a:t>Total</a:t>
          </a:r>
          <a:r>
            <a:rPr lang="en-IN" sz="2000" b="1" baseline="0">
              <a:solidFill>
                <a:srgbClr val="3903FD"/>
              </a:solidFill>
              <a:latin typeface="Times New Roman" panose="02020603050405020304" pitchFamily="18" charset="0"/>
              <a:cs typeface="Times New Roman" panose="02020603050405020304" pitchFamily="18" charset="0"/>
            </a:rPr>
            <a:t> Gender Distribution By Region</a:t>
          </a:r>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170873</xdr:colOff>
      <xdr:row>25</xdr:row>
      <xdr:rowOff>47017</xdr:rowOff>
    </xdr:from>
    <xdr:to>
      <xdr:col>4</xdr:col>
      <xdr:colOff>0</xdr:colOff>
      <xdr:row>30</xdr:row>
      <xdr:rowOff>105066</xdr:rowOff>
    </xdr:to>
    <xdr:sp macro="" textlink="">
      <xdr:nvSpPr>
        <xdr:cNvPr id="71" name="TextBox 70">
          <a:extLst>
            <a:ext uri="{FF2B5EF4-FFF2-40B4-BE49-F238E27FC236}">
              <a16:creationId xmlns:a16="http://schemas.microsoft.com/office/drawing/2014/main" id="{F1B6542F-7666-4C69-815A-AB52A7FFC99D}"/>
            </a:ext>
          </a:extLst>
        </xdr:cNvPr>
        <xdr:cNvSpPr txBox="1"/>
      </xdr:nvSpPr>
      <xdr:spPr>
        <a:xfrm>
          <a:off x="170873" y="4596271"/>
          <a:ext cx="2285724" cy="967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2000" b="1">
              <a:solidFill>
                <a:srgbClr val="3903FD"/>
              </a:solidFill>
              <a:latin typeface="Times New Roman" panose="02020603050405020304" pitchFamily="18" charset="0"/>
              <a:cs typeface="Times New Roman" panose="02020603050405020304" pitchFamily="18" charset="0"/>
            </a:rPr>
            <a:t>Total</a:t>
          </a:r>
          <a:r>
            <a:rPr lang="en-IN" sz="2000" b="1" baseline="0">
              <a:solidFill>
                <a:srgbClr val="3903FD"/>
              </a:solidFill>
              <a:latin typeface="Times New Roman" panose="02020603050405020304" pitchFamily="18" charset="0"/>
              <a:cs typeface="Times New Roman" panose="02020603050405020304" pitchFamily="18" charset="0"/>
            </a:rPr>
            <a:t> Difference Between Male And Female By Region</a:t>
          </a:r>
          <a:endParaRPr lang="en-IN" sz="20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565728</xdr:colOff>
      <xdr:row>22</xdr:row>
      <xdr:rowOff>0</xdr:rowOff>
    </xdr:from>
    <xdr:to>
      <xdr:col>3</xdr:col>
      <xdr:colOff>57728</xdr:colOff>
      <xdr:row>24</xdr:row>
      <xdr:rowOff>150090</xdr:rowOff>
    </xdr:to>
    <xdr:sp macro="" textlink="Analysis!F46">
      <xdr:nvSpPr>
        <xdr:cNvPr id="22" name="TextBox 21">
          <a:extLst>
            <a:ext uri="{FF2B5EF4-FFF2-40B4-BE49-F238E27FC236}">
              <a16:creationId xmlns:a16="http://schemas.microsoft.com/office/drawing/2014/main" id="{662E0A12-3F63-4432-8575-B6CFFC49FA09}"/>
            </a:ext>
          </a:extLst>
        </xdr:cNvPr>
        <xdr:cNvSpPr txBox="1"/>
      </xdr:nvSpPr>
      <xdr:spPr>
        <a:xfrm>
          <a:off x="565728" y="4064000"/>
          <a:ext cx="1327727" cy="519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40B710-DCB8-4955-A2F4-621A9E6240D9}" type="TxLink">
            <a:rPr lang="en-US" sz="1800" b="1" i="0" u="none" strike="noStrike">
              <a:solidFill>
                <a:srgbClr val="3903FD"/>
              </a:solidFill>
              <a:latin typeface="Times New Roman" panose="02020603050405020304" pitchFamily="18" charset="0"/>
              <a:cs typeface="Times New Roman" panose="02020603050405020304" pitchFamily="18" charset="0"/>
            </a:rPr>
            <a:pPr/>
            <a:t> </a:t>
          </a:fld>
          <a:endParaRPr lang="en-IN" sz="18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57556</xdr:colOff>
      <xdr:row>30</xdr:row>
      <xdr:rowOff>171115</xdr:rowOff>
    </xdr:from>
    <xdr:to>
      <xdr:col>3</xdr:col>
      <xdr:colOff>11374</xdr:colOff>
      <xdr:row>33</xdr:row>
      <xdr:rowOff>136477</xdr:rowOff>
    </xdr:to>
    <xdr:sp macro="" textlink="Analysis!AH45">
      <xdr:nvSpPr>
        <xdr:cNvPr id="75" name="TextBox 74">
          <a:extLst>
            <a:ext uri="{FF2B5EF4-FFF2-40B4-BE49-F238E27FC236}">
              <a16:creationId xmlns:a16="http://schemas.microsoft.com/office/drawing/2014/main" id="{C48A6FCD-6A64-43CF-AD15-A1C1A5536E39}"/>
            </a:ext>
          </a:extLst>
        </xdr:cNvPr>
        <xdr:cNvSpPr txBox="1"/>
      </xdr:nvSpPr>
      <xdr:spPr>
        <a:xfrm>
          <a:off x="671705" y="5630219"/>
          <a:ext cx="1182117" cy="511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303448-8E37-4560-A5E1-069764757861}" type="TxLink">
            <a:rPr lang="en-US" sz="1800" b="1" i="0" u="none" strike="noStrike">
              <a:solidFill>
                <a:srgbClr val="3903FD"/>
              </a:solidFill>
              <a:latin typeface="Calibri"/>
              <a:cs typeface="Calibri"/>
            </a:rPr>
            <a:pPr/>
            <a:t> </a:t>
          </a:fld>
          <a:endParaRPr lang="en-IN" sz="1800" b="1">
            <a:solidFill>
              <a:srgbClr val="3903FD"/>
            </a:solidFill>
          </a:endParaRPr>
        </a:p>
      </xdr:txBody>
    </xdr:sp>
    <xdr:clientData/>
  </xdr:twoCellAnchor>
  <xdr:twoCellAnchor>
    <xdr:from>
      <xdr:col>1</xdr:col>
      <xdr:colOff>138546</xdr:colOff>
      <xdr:row>38</xdr:row>
      <xdr:rowOff>46183</xdr:rowOff>
    </xdr:from>
    <xdr:to>
      <xdr:col>3</xdr:col>
      <xdr:colOff>69273</xdr:colOff>
      <xdr:row>41</xdr:row>
      <xdr:rowOff>11546</xdr:rowOff>
    </xdr:to>
    <xdr:sp macro="" textlink="Analysis!U45">
      <xdr:nvSpPr>
        <xdr:cNvPr id="76" name="TextBox 75">
          <a:extLst>
            <a:ext uri="{FF2B5EF4-FFF2-40B4-BE49-F238E27FC236}">
              <a16:creationId xmlns:a16="http://schemas.microsoft.com/office/drawing/2014/main" id="{D82B5755-64B1-4DF5-BD26-8025CB6F6E86}"/>
            </a:ext>
          </a:extLst>
        </xdr:cNvPr>
        <xdr:cNvSpPr txBox="1"/>
      </xdr:nvSpPr>
      <xdr:spPr>
        <a:xfrm>
          <a:off x="750455" y="7065819"/>
          <a:ext cx="1154545" cy="519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C19AC3-DF9A-4B5D-96AC-C4DDC8A948BA}" type="TxLink">
            <a:rPr lang="en-US" sz="1800" b="1" i="0" u="none" strike="noStrike">
              <a:solidFill>
                <a:srgbClr val="3903FD"/>
              </a:solidFill>
              <a:latin typeface="Calibri"/>
              <a:cs typeface="Calibri"/>
            </a:rPr>
            <a:pPr/>
            <a:t> </a:t>
          </a:fld>
          <a:endParaRPr lang="en-IN" sz="1800" b="1">
            <a:solidFill>
              <a:srgbClr val="3903FD"/>
            </a:solidFill>
          </a:endParaRPr>
        </a:p>
      </xdr:txBody>
    </xdr:sp>
    <xdr:clientData/>
  </xdr:twoCellAnchor>
  <xdr:twoCellAnchor>
    <xdr:from>
      <xdr:col>1</xdr:col>
      <xdr:colOff>127000</xdr:colOff>
      <xdr:row>40</xdr:row>
      <xdr:rowOff>103909</xdr:rowOff>
    </xdr:from>
    <xdr:to>
      <xdr:col>3</xdr:col>
      <xdr:colOff>57727</xdr:colOff>
      <xdr:row>43</xdr:row>
      <xdr:rowOff>69272</xdr:rowOff>
    </xdr:to>
    <xdr:sp macro="" textlink="Analysis!V45">
      <xdr:nvSpPr>
        <xdr:cNvPr id="80" name="TextBox 79">
          <a:extLst>
            <a:ext uri="{FF2B5EF4-FFF2-40B4-BE49-F238E27FC236}">
              <a16:creationId xmlns:a16="http://schemas.microsoft.com/office/drawing/2014/main" id="{A770CBE8-1535-4875-BCCE-C9188305CC7E}"/>
            </a:ext>
          </a:extLst>
        </xdr:cNvPr>
        <xdr:cNvSpPr txBox="1"/>
      </xdr:nvSpPr>
      <xdr:spPr>
        <a:xfrm>
          <a:off x="738909" y="7493000"/>
          <a:ext cx="1154545" cy="5195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19B6DB-7470-4E3C-86C9-DC6A89340719}" type="TxLink">
            <a:rPr lang="en-US" sz="1800" b="1" i="0" u="none" strike="noStrike">
              <a:solidFill>
                <a:srgbClr val="3903FD"/>
              </a:solidFill>
              <a:latin typeface="Calibri"/>
              <a:cs typeface="Calibri"/>
            </a:rPr>
            <a:pPr/>
            <a:t> </a:t>
          </a:fld>
          <a:endParaRPr lang="en-IN" sz="3200" b="1">
            <a:solidFill>
              <a:srgbClr val="3903FD"/>
            </a:solidFill>
          </a:endParaRPr>
        </a:p>
      </xdr:txBody>
    </xdr:sp>
    <xdr:clientData/>
  </xdr:twoCellAnchor>
  <xdr:twoCellAnchor editAs="oneCell">
    <xdr:from>
      <xdr:col>0</xdr:col>
      <xdr:colOff>206958</xdr:colOff>
      <xdr:row>38</xdr:row>
      <xdr:rowOff>48077</xdr:rowOff>
    </xdr:from>
    <xdr:to>
      <xdr:col>1</xdr:col>
      <xdr:colOff>241594</xdr:colOff>
      <xdr:row>40</xdr:row>
      <xdr:rowOff>149228</xdr:rowOff>
    </xdr:to>
    <xdr:pic>
      <xdr:nvPicPr>
        <xdr:cNvPr id="24" name="Graphic 23" descr="Male">
          <a:extLst>
            <a:ext uri="{FF2B5EF4-FFF2-40B4-BE49-F238E27FC236}">
              <a16:creationId xmlns:a16="http://schemas.microsoft.com/office/drawing/2014/main" id="{20C63A27-C312-490A-AB71-61CDAAB826A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206958" y="6962943"/>
          <a:ext cx="648785" cy="465091"/>
        </a:xfrm>
        <a:prstGeom prst="rect">
          <a:avLst/>
        </a:prstGeom>
      </xdr:spPr>
    </xdr:pic>
    <xdr:clientData/>
  </xdr:twoCellAnchor>
  <xdr:twoCellAnchor editAs="oneCell">
    <xdr:from>
      <xdr:col>0</xdr:col>
      <xdr:colOff>161199</xdr:colOff>
      <xdr:row>40</xdr:row>
      <xdr:rowOff>171888</xdr:rowOff>
    </xdr:from>
    <xdr:to>
      <xdr:col>1</xdr:col>
      <xdr:colOff>195927</xdr:colOff>
      <xdr:row>43</xdr:row>
      <xdr:rowOff>91159</xdr:rowOff>
    </xdr:to>
    <xdr:pic>
      <xdr:nvPicPr>
        <xdr:cNvPr id="27" name="Graphic 26" descr="Female">
          <a:extLst>
            <a:ext uri="{FF2B5EF4-FFF2-40B4-BE49-F238E27FC236}">
              <a16:creationId xmlns:a16="http://schemas.microsoft.com/office/drawing/2014/main" id="{1B744CF9-6A38-4CFF-8010-6F91DA3549AA}"/>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61199" y="7450694"/>
          <a:ext cx="648877" cy="465181"/>
        </a:xfrm>
        <a:prstGeom prst="rect">
          <a:avLst/>
        </a:prstGeom>
      </xdr:spPr>
    </xdr:pic>
    <xdr:clientData/>
  </xdr:twoCellAnchor>
  <xdr:twoCellAnchor>
    <xdr:from>
      <xdr:col>1</xdr:col>
      <xdr:colOff>0</xdr:colOff>
      <xdr:row>23</xdr:row>
      <xdr:rowOff>22748</xdr:rowOff>
    </xdr:from>
    <xdr:to>
      <xdr:col>3</xdr:col>
      <xdr:colOff>0</xdr:colOff>
      <xdr:row>24</xdr:row>
      <xdr:rowOff>170597</xdr:rowOff>
    </xdr:to>
    <xdr:sp macro="" textlink="Analysis!F57">
      <xdr:nvSpPr>
        <xdr:cNvPr id="28" name="TextBox 27">
          <a:extLst>
            <a:ext uri="{FF2B5EF4-FFF2-40B4-BE49-F238E27FC236}">
              <a16:creationId xmlns:a16="http://schemas.microsoft.com/office/drawing/2014/main" id="{BA23775E-03E0-4490-811C-733A24FC95BD}"/>
            </a:ext>
          </a:extLst>
        </xdr:cNvPr>
        <xdr:cNvSpPr txBox="1"/>
      </xdr:nvSpPr>
      <xdr:spPr>
        <a:xfrm>
          <a:off x="614149" y="4208061"/>
          <a:ext cx="1228299" cy="329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499FE78-9CB6-4D78-BC1C-538F430E95EE}" type="TxLink">
            <a:rPr lang="en-US" sz="1800" b="1" i="0" u="none" strike="noStrike">
              <a:solidFill>
                <a:srgbClr val="3903FD"/>
              </a:solidFill>
              <a:latin typeface="Times New Roman" panose="02020603050405020304" pitchFamily="18" charset="0"/>
              <a:cs typeface="Times New Roman" panose="02020603050405020304" pitchFamily="18" charset="0"/>
            </a:rPr>
            <a:pPr/>
            <a:t>222795505</a:t>
          </a:fld>
          <a:endParaRPr lang="en-IN" sz="18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68239</xdr:colOff>
      <xdr:row>30</xdr:row>
      <xdr:rowOff>136478</xdr:rowOff>
    </xdr:from>
    <xdr:to>
      <xdr:col>2</xdr:col>
      <xdr:colOff>466298</xdr:colOff>
      <xdr:row>32</xdr:row>
      <xdr:rowOff>147850</xdr:rowOff>
    </xdr:to>
    <xdr:sp macro="" textlink="Analysis!AI57">
      <xdr:nvSpPr>
        <xdr:cNvPr id="81" name="TextBox 80">
          <a:extLst>
            <a:ext uri="{FF2B5EF4-FFF2-40B4-BE49-F238E27FC236}">
              <a16:creationId xmlns:a16="http://schemas.microsoft.com/office/drawing/2014/main" id="{5D8DFF07-26FE-48F1-858D-877117BB6F11}"/>
            </a:ext>
          </a:extLst>
        </xdr:cNvPr>
        <xdr:cNvSpPr txBox="1"/>
      </xdr:nvSpPr>
      <xdr:spPr>
        <a:xfrm>
          <a:off x="682388" y="5595582"/>
          <a:ext cx="1012209" cy="375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5ED66C-51D5-4FFF-BDBF-74093C863028}" type="TxLink">
            <a:rPr lang="en-US" sz="1800" b="1" i="0" u="none" strike="noStrike">
              <a:solidFill>
                <a:srgbClr val="3903FD"/>
              </a:solidFill>
              <a:latin typeface="Times New Roman" panose="02020603050405020304" pitchFamily="18" charset="0"/>
              <a:cs typeface="Times New Roman" panose="02020603050405020304" pitchFamily="18" charset="0"/>
            </a:rPr>
            <a:pPr/>
            <a:t>5975805</a:t>
          </a:fld>
          <a:endParaRPr lang="en-IN" sz="32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147851</xdr:colOff>
      <xdr:row>38</xdr:row>
      <xdr:rowOff>68239</xdr:rowOff>
    </xdr:from>
    <xdr:to>
      <xdr:col>3</xdr:col>
      <xdr:colOff>523164</xdr:colOff>
      <xdr:row>40</xdr:row>
      <xdr:rowOff>159224</xdr:rowOff>
    </xdr:to>
    <xdr:sp macro="" textlink="Analysis!V56">
      <xdr:nvSpPr>
        <xdr:cNvPr id="82" name="TextBox 81">
          <a:extLst>
            <a:ext uri="{FF2B5EF4-FFF2-40B4-BE49-F238E27FC236}">
              <a16:creationId xmlns:a16="http://schemas.microsoft.com/office/drawing/2014/main" id="{046EDD5B-6851-4332-A86A-38E43114DB11}"/>
            </a:ext>
          </a:extLst>
        </xdr:cNvPr>
        <xdr:cNvSpPr txBox="1"/>
      </xdr:nvSpPr>
      <xdr:spPr>
        <a:xfrm>
          <a:off x="762000" y="6983105"/>
          <a:ext cx="1603612" cy="45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83ACB5-3BBE-4AF3-8DA8-A917CFE2F78C}" type="TxLink">
            <a:rPr lang="en-US" sz="1800" b="1" i="0" u="none" strike="noStrike">
              <a:solidFill>
                <a:srgbClr val="3903FD"/>
              </a:solidFill>
              <a:latin typeface="Times New Roman" panose="02020603050405020304" pitchFamily="18" charset="0"/>
              <a:cs typeface="Times New Roman" panose="02020603050405020304" pitchFamily="18" charset="0"/>
            </a:rPr>
            <a:pPr/>
            <a:t>114385655</a:t>
          </a:fld>
          <a:endParaRPr lang="en-IN" sz="32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170597</xdr:colOff>
      <xdr:row>40</xdr:row>
      <xdr:rowOff>136478</xdr:rowOff>
    </xdr:from>
    <xdr:to>
      <xdr:col>3</xdr:col>
      <xdr:colOff>545910</xdr:colOff>
      <xdr:row>43</xdr:row>
      <xdr:rowOff>45493</xdr:rowOff>
    </xdr:to>
    <xdr:sp macro="" textlink="Analysis!W56">
      <xdr:nvSpPr>
        <xdr:cNvPr id="83" name="TextBox 82">
          <a:extLst>
            <a:ext uri="{FF2B5EF4-FFF2-40B4-BE49-F238E27FC236}">
              <a16:creationId xmlns:a16="http://schemas.microsoft.com/office/drawing/2014/main" id="{9D93D98E-8A52-4AA9-8E14-A7024C394C14}"/>
            </a:ext>
          </a:extLst>
        </xdr:cNvPr>
        <xdr:cNvSpPr txBox="1"/>
      </xdr:nvSpPr>
      <xdr:spPr>
        <a:xfrm>
          <a:off x="784746" y="7415284"/>
          <a:ext cx="1603612" cy="45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767C46-DD39-41FF-A72F-6DF589CFDE27}" type="TxLink">
            <a:rPr lang="en-US" sz="1800" b="1" i="0" u="none" strike="noStrike">
              <a:solidFill>
                <a:srgbClr val="3903FD"/>
              </a:solidFill>
              <a:latin typeface="Times New Roman" panose="02020603050405020304" pitchFamily="18" charset="0"/>
              <a:cs typeface="Times New Roman" panose="02020603050405020304" pitchFamily="18" charset="0"/>
            </a:rPr>
            <a:pPr/>
            <a:t>108409850</a:t>
          </a:fld>
          <a:endParaRPr lang="en-IN" sz="3200" b="1">
            <a:solidFill>
              <a:srgbClr val="3903FD"/>
            </a:solidFill>
            <a:latin typeface="Times New Roman" panose="02020603050405020304" pitchFamily="18" charset="0"/>
            <a:cs typeface="Times New Roman" panose="02020603050405020304" pitchFamily="18" charset="0"/>
          </a:endParaRPr>
        </a:p>
      </xdr:txBody>
    </xdr:sp>
    <xdr:clientData/>
  </xdr:twoCellAnchor>
  <xdr:twoCellAnchor editAs="oneCell">
    <xdr:from>
      <xdr:col>24</xdr:col>
      <xdr:colOff>52284</xdr:colOff>
      <xdr:row>36</xdr:row>
      <xdr:rowOff>18508</xdr:rowOff>
    </xdr:from>
    <xdr:to>
      <xdr:col>25</xdr:col>
      <xdr:colOff>86920</xdr:colOff>
      <xdr:row>38</xdr:row>
      <xdr:rowOff>119658</xdr:rowOff>
    </xdr:to>
    <xdr:pic>
      <xdr:nvPicPr>
        <xdr:cNvPr id="84" name="Graphic 83" descr="Male">
          <a:extLst>
            <a:ext uri="{FF2B5EF4-FFF2-40B4-BE49-F238E27FC236}">
              <a16:creationId xmlns:a16="http://schemas.microsoft.com/office/drawing/2014/main" id="{345FB7BB-4168-471B-A12A-D9E4E6E0782E}"/>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4791866" y="6569433"/>
          <a:ext cx="648785" cy="465091"/>
        </a:xfrm>
        <a:prstGeom prst="rect">
          <a:avLst/>
        </a:prstGeom>
      </xdr:spPr>
    </xdr:pic>
    <xdr:clientData/>
  </xdr:twoCellAnchor>
  <xdr:twoCellAnchor editAs="oneCell">
    <xdr:from>
      <xdr:col>28</xdr:col>
      <xdr:colOff>40644</xdr:colOff>
      <xdr:row>36</xdr:row>
      <xdr:rowOff>39960</xdr:rowOff>
    </xdr:from>
    <xdr:to>
      <xdr:col>29</xdr:col>
      <xdr:colOff>75372</xdr:colOff>
      <xdr:row>38</xdr:row>
      <xdr:rowOff>141200</xdr:rowOff>
    </xdr:to>
    <xdr:pic>
      <xdr:nvPicPr>
        <xdr:cNvPr id="85" name="Graphic 84" descr="Female">
          <a:extLst>
            <a:ext uri="{FF2B5EF4-FFF2-40B4-BE49-F238E27FC236}">
              <a16:creationId xmlns:a16="http://schemas.microsoft.com/office/drawing/2014/main" id="{27ABA3AB-EEAD-4704-84CE-430A9296A60D}"/>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7236823" y="6590885"/>
          <a:ext cx="648877" cy="46518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507.030922106482" createdVersion="6" refreshedVersion="6" minRefreshableVersion="3" recordCount="36" xr:uid="{00000000-000A-0000-FFFF-FFFF2E000000}">
  <cacheSource type="worksheet">
    <worksheetSource name="Table1"/>
  </cacheSource>
  <cacheFields count="12">
    <cacheField name="Sl No" numFmtId="0">
      <sharedItems containsSemiMixedTypes="0" containsString="0" containsNumber="1" containsInteger="1" minValue="1" maxValue="36"/>
    </cacheField>
    <cacheField name="State/UT" numFmtId="0">
      <sharedItems count="36">
        <s v="Uttar Pradesh"/>
        <s v="Maharashtra"/>
        <s v="Bihar"/>
        <s v="West Bengal"/>
        <s v="Madhya Pradesh"/>
        <s v="Tamil Nadu"/>
        <s v="Rajasthan"/>
        <s v="Karnataka"/>
        <s v="Gujarat"/>
        <s v="Andhra Pradesh"/>
        <s v="Odisha"/>
        <s v="Telangana"/>
        <s v="Kerala"/>
        <s v="Jharkhand"/>
        <s v="Assam"/>
        <s v="Punjab"/>
        <s v="Chhattisgarh"/>
        <s v="Haryana"/>
        <s v="Delhi (UT)"/>
        <s v="Jammu and Kashmir"/>
        <s v="Uttarakhand"/>
        <s v="Himachal Pradesh"/>
        <s v="Tripura"/>
        <s v="Meghalaya"/>
        <s v="Manipur"/>
        <s v="Nagaland"/>
        <s v="Goa"/>
        <s v="Arunachal Pradesh"/>
        <s v="Puducherry (UT)"/>
        <s v="Mizoram"/>
        <s v="Chandigarh (UT)"/>
        <s v="Sikkim"/>
        <s v="Andaman and Nicobar Islands (UT)"/>
        <s v="Dadra and Nagar Haveli (UT)"/>
        <s v="Daman and Diu (UT)"/>
        <s v="Lakshadweep (UT)"/>
      </sharedItems>
    </cacheField>
    <cacheField name="Population[50]" numFmtId="0">
      <sharedItems containsSemiMixedTypes="0" containsString="0" containsNumber="1" containsInteger="1" minValue="64473" maxValue="199812341"/>
    </cacheField>
    <cacheField name="Percent (%)" numFmtId="0">
      <sharedItems containsSemiMixedTypes="0" containsString="0" containsNumber="1" minValue="0.01" maxValue="16.5"/>
    </cacheField>
    <cacheField name="Male" numFmtId="0">
      <sharedItems containsSemiMixedTypes="0" containsString="0" containsNumber="1" containsInteger="1" minValue="33123" maxValue="104480510"/>
    </cacheField>
    <cacheField name="Female" numFmtId="0">
      <sharedItems containsSemiMixedTypes="0" containsString="0" containsNumber="1" containsInteger="1" minValue="31350" maxValue="95331831"/>
    </cacheField>
    <cacheField name="Difference between male and female" numFmtId="0">
      <sharedItems containsSemiMixedTypes="0" containsString="0" containsNumber="1" containsInteger="1" minValue="1773" maxValue="9148679"/>
    </cacheField>
    <cacheField name="Sex ratio" numFmtId="0">
      <sharedItems containsSemiMixedTypes="0" containsString="0" containsNumber="1" containsInteger="1" minValue="618" maxValue="1084"/>
    </cacheField>
    <cacheField name="Rural[51]" numFmtId="0">
      <sharedItems containsSemiMixedTypes="0" containsString="0" containsNumber="1" containsInteger="1" minValue="14121" maxValue="155111022"/>
    </cacheField>
    <cacheField name="Urban[51]" numFmtId="0">
      <sharedItems containsSemiMixedTypes="0" containsString="0" containsNumber="1" containsInteger="1" minValue="50308" maxValue="50827531"/>
    </cacheField>
    <cacheField name="Area[52] (km2)" numFmtId="0">
      <sharedItems containsSemiMixedTypes="0" containsString="0" containsNumber="1" containsInteger="1" minValue="32" maxValue="342239"/>
    </cacheField>
    <cacheField name="Density (per km2)" numFmtId="0">
      <sharedItems containsSemiMixedTypes="0" containsString="0" containsNumber="1" containsInteger="1" minValue="17" maxValue="11297"/>
    </cacheField>
  </cacheFields>
  <extLst>
    <ext xmlns:x14="http://schemas.microsoft.com/office/spreadsheetml/2009/9/main" uri="{725AE2AE-9491-48be-B2B4-4EB974FC3084}">
      <x14:pivotCacheDefinition pivotCacheId="72525533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712963" backgroundQuery="1" createdVersion="6" refreshedVersion="6" minRefreshableVersion="3" recordCount="0" supportSubquery="1" supportAdvancedDrill="1" xr:uid="{46F142CF-3D87-451A-85B4-0202B7615B27}">
  <cacheSource type="external" connectionId="1"/>
  <cacheFields count="3">
    <cacheField name="[Table1].[Region].[Region]" caption="Region" numFmtId="0" hierarchy="12" level="1">
      <sharedItems count="5">
        <s v="East"/>
        <s v="North"/>
        <s v="South"/>
        <s v="Union Territory"/>
        <s v="West"/>
      </sharedItems>
    </cacheField>
    <cacheField name="[Table1].[State/UT].[State/UT]" caption="State/UT" numFmtId="0" hierarchy="1" level="1">
      <sharedItems count="36">
        <s v="Arunachal Pradesh"/>
        <s v="Assam"/>
        <s v="Haryana"/>
        <s v="Jharkhand"/>
        <s v="Manipur"/>
        <s v="Meghalaya"/>
        <s v="Mizoram"/>
        <s v="Nagaland"/>
        <s v="Odisha"/>
        <s v="Sikkim"/>
        <s v="Tripura"/>
        <s v="West Bengal"/>
        <s v="Bihar"/>
        <s v="Himachal Pradesh"/>
        <s v="Jammu and Kashmir"/>
        <s v="Madhya Pradesh"/>
        <s v="Uttar Pradesh"/>
        <s v="Uttarakhand"/>
        <s v="Andhra Pradesh"/>
        <s v="Karnataka"/>
        <s v="Kerala"/>
        <s v="Tamil Nadu"/>
        <s v="Telangana"/>
        <s v="Andaman and Nicobar Islands (UT)"/>
        <s v="Chandigarh (UT)"/>
        <s v="Dadra and Nagar Haveli (UT)"/>
        <s v="Daman and Diu (UT)"/>
        <s v="Delhi (UT)"/>
        <s v="Lakshadweep (UT)"/>
        <s v="Puducherry (UT)"/>
        <s v="Chhattisgarh"/>
        <s v="Goa"/>
        <s v="Gujarat"/>
        <s v="Maharashtra"/>
        <s v="Punjab"/>
        <s v="Rajasthan"/>
      </sharedItems>
    </cacheField>
    <cacheField name="[Measures].[Sum of Population[50]]]" caption="Sum of Population[50]" numFmtId="0" hierarchy="19" level="32767"/>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1"/>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oneField="1" hidden="1">
      <fieldsUsage count="1">
        <fieldUsage x="2"/>
      </fieldsUsage>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hidden="1">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hidden="1">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770833" backgroundQuery="1" createdVersion="6" refreshedVersion="6" minRefreshableVersion="3" recordCount="0" supportSubquery="1" supportAdvancedDrill="1" xr:uid="{C67951AA-487F-450C-8316-54E7B19366CE}">
  <cacheSource type="external" connectionId="1"/>
  <cacheFields count="4">
    <cacheField name="[Table1].[State/UT].[State/UT]" caption="State/UT" numFmtId="0" hierarchy="1" level="1">
      <sharedItems count="36">
        <s v="Arunachal Pradesh"/>
        <s v="Assam"/>
        <s v="Haryana"/>
        <s v="Jharkhand"/>
        <s v="Manipur"/>
        <s v="Meghalaya"/>
        <s v="Mizoram"/>
        <s v="Nagaland"/>
        <s v="Odisha"/>
        <s v="Sikkim"/>
        <s v="Tripura"/>
        <s v="West Bengal"/>
        <s v="Bihar"/>
        <s v="Himachal Pradesh"/>
        <s v="Jammu and Kashmir"/>
        <s v="Madhya Pradesh"/>
        <s v="Uttar Pradesh"/>
        <s v="Uttarakhand"/>
        <s v="Andhra Pradesh"/>
        <s v="Karnataka"/>
        <s v="Kerala"/>
        <s v="Tamil Nadu"/>
        <s v="Telangana"/>
        <s v="Andaman and Nicobar Islands (UT)"/>
        <s v="Chandigarh (UT)"/>
        <s v="Dadra and Nagar Haveli (UT)"/>
        <s v="Daman and Diu (UT)"/>
        <s v="Delhi (UT)"/>
        <s v="Lakshadweep (UT)"/>
        <s v="Puducherry (UT)"/>
        <s v="Chhattisgarh"/>
        <s v="Goa"/>
        <s v="Gujarat"/>
        <s v="Maharashtra"/>
        <s v="Punjab"/>
        <s v="Rajasthan"/>
      </sharedItems>
    </cacheField>
    <cacheField name="[Measures].[Sum of Male]" caption="Sum of Male" numFmtId="0" hierarchy="20" level="32767"/>
    <cacheField name="[Measures].[Sum of Female]" caption="Sum of Female" numFmtId="0" hierarchy="21" level="32767"/>
    <cacheField name="[Table1].[Region].[Region]" caption="Region" numFmtId="0" hierarchy="12" level="1">
      <sharedItems count="5">
        <s v="East"/>
        <s v="North"/>
        <s v="South"/>
        <s v="Union Territory"/>
        <s v="West"/>
      </sharedItems>
    </cacheField>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0"/>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3"/>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hidden="1">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oneField="1" hidden="1">
      <fieldsUsage count="1">
        <fieldUsage x="2"/>
      </fieldsUsage>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8287038" backgroundQuery="1" createdVersion="6" refreshedVersion="6" minRefreshableVersion="3" recordCount="0" supportSubquery="1" supportAdvancedDrill="1" xr:uid="{9CAAA209-E97B-4502-82B6-B5B8F7CD0356}">
  <cacheSource type="external" connectionId="1"/>
  <cacheFields count="3">
    <cacheField name="[Table1].[Region].[Region]" caption="Region" numFmtId="0" hierarchy="12" level="1">
      <sharedItems count="5">
        <s v="East"/>
        <s v="North"/>
        <s v="South"/>
        <s v="Union Territory"/>
        <s v="West"/>
      </sharedItems>
    </cacheField>
    <cacheField name="[Table1].[State/UT].[State/UT]" caption="State/UT" numFmtId="0" hierarchy="1" level="1">
      <sharedItems count="36">
        <s v="Arunachal Pradesh"/>
        <s v="Assam"/>
        <s v="Haryana"/>
        <s v="Jharkhand"/>
        <s v="Manipur"/>
        <s v="Meghalaya"/>
        <s v="Mizoram"/>
        <s v="Nagaland"/>
        <s v="Odisha"/>
        <s v="Sikkim"/>
        <s v="Tripura"/>
        <s v="West Bengal"/>
        <s v="Bihar"/>
        <s v="Himachal Pradesh"/>
        <s v="Jammu and Kashmir"/>
        <s v="Madhya Pradesh"/>
        <s v="Uttar Pradesh"/>
        <s v="Uttarakhand"/>
        <s v="Andhra Pradesh"/>
        <s v="Karnataka"/>
        <s v="Kerala"/>
        <s v="Tamil Nadu"/>
        <s v="Telangana"/>
        <s v="Andaman and Nicobar Islands (UT)"/>
        <s v="Chandigarh (UT)"/>
        <s v="Dadra and Nagar Haveli (UT)"/>
        <s v="Daman and Diu (UT)"/>
        <s v="Delhi (UT)"/>
        <s v="Lakshadweep (UT)"/>
        <s v="Puducherry (UT)"/>
        <s v="Chhattisgarh"/>
        <s v="Goa"/>
        <s v="Gujarat"/>
        <s v="Maharashtra"/>
        <s v="Punjab"/>
        <s v="Rajasthan"/>
      </sharedItems>
    </cacheField>
    <cacheField name="[Measures].[Sum of Sex ratio]" caption="Sum of Sex ratio" numFmtId="0" hierarchy="24" level="32767"/>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1"/>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hidden="1">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hidden="1">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hidden="1">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oneField="1" hidden="1">
      <fieldsUsage count="1">
        <fieldUsage x="2"/>
      </fieldsUsage>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875" backgroundQuery="1" createdVersion="6" refreshedVersion="6" minRefreshableVersion="3" recordCount="0" supportSubquery="1" supportAdvancedDrill="1" xr:uid="{FCE08BE7-16DB-4EEE-932E-042FE2DC9846}">
  <cacheSource type="external" connectionId="1"/>
  <cacheFields count="3">
    <cacheField name="[Table1].[State/UT].[State/UT]" caption="State/UT" numFmtId="0" hierarchy="1" level="1">
      <sharedItems count="36">
        <s v="Andaman and Nicobar Islands (UT)"/>
        <s v="Andhra Pradesh"/>
        <s v="Arunachal Pradesh"/>
        <s v="Assam"/>
        <s v="Bihar"/>
        <s v="Chandigarh (UT)"/>
        <s v="Chhattisgarh"/>
        <s v="Dadra and Nagar Haveli (UT)"/>
        <s v="Daman and Diu (UT)"/>
        <s v="Delhi (UT)"/>
        <s v="Goa"/>
        <s v="Gujarat"/>
        <s v="Haryana"/>
        <s v="Himachal Pradesh"/>
        <s v="Jammu and Kashmir"/>
        <s v="Jharkhand"/>
        <s v="Karnataka"/>
        <s v="Kerala"/>
        <s v="Lakshadweep (UT)"/>
        <s v="Madhya Pradesh"/>
        <s v="Maharashtra"/>
        <s v="Manipur"/>
        <s v="Meghalaya"/>
        <s v="Mizoram"/>
        <s v="Nagaland"/>
        <s v="Odisha"/>
        <s v="Puducherry (UT)"/>
        <s v="Punjab"/>
        <s v="Rajasthan"/>
        <s v="Sikkim"/>
        <s v="Tamil Nadu"/>
        <s v="Telangana"/>
        <s v="Tripura"/>
        <s v="Uttar Pradesh"/>
        <s v="Uttarakhand"/>
        <s v="West Bengal"/>
      </sharedItems>
    </cacheField>
    <cacheField name="[Measures].[Sum of Population[50]]]" caption="Sum of Population[50]" numFmtId="0" hierarchy="19" level="32767"/>
    <cacheField name="[Table1].[Region].[Region]" caption="Region" numFmtId="0" hierarchy="12" level="1">
      <sharedItems containsSemiMixedTypes="0" containsNonDate="0" containsString="0"/>
    </cacheField>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0"/>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2"/>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oneField="1" hidden="1">
      <fieldsUsage count="1">
        <fieldUsage x="1"/>
      </fieldsUsage>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hidden="1">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hidden="1">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9097223" backgroundQuery="1" createdVersion="6" refreshedVersion="6" minRefreshableVersion="3" recordCount="0" supportSubquery="1" supportAdvancedDrill="1" xr:uid="{E2A98194-6F94-4546-B42A-4AB3A280056C}">
  <cacheSource type="external" connectionId="1"/>
  <cacheFields count="3">
    <cacheField name="[Table1].[State/UT].[State/UT]" caption="State/UT" numFmtId="0" hierarchy="1" level="1">
      <sharedItems count="36">
        <s v="Arunachal Pradesh"/>
        <s v="Assam"/>
        <s v="Haryana"/>
        <s v="Jharkhand"/>
        <s v="Manipur"/>
        <s v="Meghalaya"/>
        <s v="Mizoram"/>
        <s v="Nagaland"/>
        <s v="Odisha"/>
        <s v="Sikkim"/>
        <s v="Tripura"/>
        <s v="West Bengal"/>
        <s v="Bihar"/>
        <s v="Himachal Pradesh"/>
        <s v="Jammu and Kashmir"/>
        <s v="Madhya Pradesh"/>
        <s v="Uttar Pradesh"/>
        <s v="Uttarakhand"/>
        <s v="Andhra Pradesh"/>
        <s v="Karnataka"/>
        <s v="Kerala"/>
        <s v="Tamil Nadu"/>
        <s v="Telangana"/>
        <s v="Andaman and Nicobar Islands (UT)"/>
        <s v="Chandigarh (UT)"/>
        <s v="Dadra and Nagar Haveli (UT)"/>
        <s v="Daman and Diu (UT)"/>
        <s v="Delhi (UT)"/>
        <s v="Lakshadweep (UT)"/>
        <s v="Puducherry (UT)"/>
        <s v="Chhattisgarh"/>
        <s v="Goa"/>
        <s v="Gujarat"/>
        <s v="Maharashtra"/>
        <s v="Punjab"/>
        <s v="Rajasthan"/>
      </sharedItems>
    </cacheField>
    <cacheField name="[Table1].[Region].[Region]" caption="Region" numFmtId="0" hierarchy="12" level="1">
      <sharedItems count="5">
        <s v="East"/>
        <s v="North"/>
        <s v="South"/>
        <s v="Union Territory"/>
        <s v="West"/>
      </sharedItems>
    </cacheField>
    <cacheField name="[Measures].[Sum of Difference between male and female]" caption="Sum of Difference between male and female" numFmtId="0" hierarchy="23" level="32767"/>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0"/>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hidden="1">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hidden="1">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hidden="1">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oneField="1" hidden="1">
      <fieldsUsage count="1">
        <fieldUsage x="2"/>
      </fieldsUsage>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10.778419444447" backgroundQuery="1" createdVersion="6" refreshedVersion="6" minRefreshableVersion="3" recordCount="0" supportSubquery="1" supportAdvancedDrill="1" xr:uid="{5AD4B229-4265-48E4-A008-859F157F3E8E}">
  <cacheSource type="external" connectionId="1"/>
  <cacheFields count="4">
    <cacheField name="[Table1].[Region].[Region]" caption="Region" numFmtId="0" hierarchy="12" level="1">
      <sharedItems count="5">
        <s v="East"/>
        <s v="North"/>
        <s v="South"/>
        <s v="Union Territory"/>
        <s v="West"/>
      </sharedItems>
    </cacheField>
    <cacheField name="[Table1].[State/UT].[State/UT]" caption="State/UT" numFmtId="0" hierarchy="1" level="1">
      <sharedItems count="36">
        <s v="Arunachal Pradesh"/>
        <s v="Assam"/>
        <s v="Haryana"/>
        <s v="Jharkhand"/>
        <s v="Manipur"/>
        <s v="Meghalaya"/>
        <s v="Mizoram"/>
        <s v="Nagaland"/>
        <s v="Odisha"/>
        <s v="Sikkim"/>
        <s v="Tripura"/>
        <s v="West Bengal"/>
        <s v="Bihar"/>
        <s v="Himachal Pradesh"/>
        <s v="Jammu and Kashmir"/>
        <s v="Madhya Pradesh"/>
        <s v="Uttar Pradesh"/>
        <s v="Uttarakhand"/>
        <s v="Andhra Pradesh"/>
        <s v="Karnataka"/>
        <s v="Kerala"/>
        <s v="Tamil Nadu"/>
        <s v="Telangana"/>
        <s v="Andaman and Nicobar Islands (UT)"/>
        <s v="Chandigarh (UT)"/>
        <s v="Dadra and Nagar Haveli (UT)"/>
        <s v="Daman and Diu (UT)"/>
        <s v="Delhi (UT)"/>
        <s v="Lakshadweep (UT)"/>
        <s v="Puducherry (UT)"/>
        <s v="Chhattisgarh"/>
        <s v="Goa"/>
        <s v="Gujarat"/>
        <s v="Maharashtra"/>
        <s v="Punjab"/>
        <s v="Rajasthan"/>
      </sharedItems>
    </cacheField>
    <cacheField name="[Measures].[Sum of Male]" caption="Sum of Male" numFmtId="0" hierarchy="20" level="32767"/>
    <cacheField name="[Measures].[Sum of Female]" caption="Sum of Female" numFmtId="0" hierarchy="21" level="32767"/>
  </cacheFields>
  <cacheHierarchies count="31">
    <cacheHierarchy uniqueName="[Table1].[Sl No]" caption="Sl No" attribute="1" defaultMemberUniqueName="[Table1].[Sl No].[All]" allUniqueName="[Table1].[Sl No].[All]" dimensionUniqueName="[Table1]" displayFolder="" count="2" memberValueDatatype="20" unbalanced="0"/>
    <cacheHierarchy uniqueName="[Table1].[State/UT]" caption="State/UT" attribute="1" defaultMemberUniqueName="[Table1].[State/UT].[All]" allUniqueName="[Table1].[State/UT].[All]" dimensionUniqueName="[Table1]" displayFolder="" count="2" memberValueDatatype="130" unbalanced="0">
      <fieldsUsage count="2">
        <fieldUsage x="-1"/>
        <fieldUsage x="1"/>
      </fieldsUsage>
    </cacheHierarchy>
    <cacheHierarchy uniqueName="[Table1].[Population[50]]]" caption="Population[50]" attribute="1" defaultMemberUniqueName="[Table1].[Population[50]]].[All]" allUniqueName="[Table1].[Population[50]]].[All]" dimensionUniqueName="[Table1]" displayFolder="" count="2" memberValueDatatype="20" unbalanced="0"/>
    <cacheHierarchy uniqueName="[Table1].[Percent (%)]" caption="Percent (%)" attribute="1" defaultMemberUniqueName="[Table1].[Percent (%)].[All]" allUniqueName="[Table1].[Percent (%)].[All]" dimensionUniqueName="[Table1]" displayFolder="" count="2" memberValueDatatype="5" unbalanced="0"/>
    <cacheHierarchy uniqueName="[Table1].[Male]" caption="Male" attribute="1" defaultMemberUniqueName="[Table1].[Male].[All]" allUniqueName="[Table1].[Male].[All]" dimensionUniqueName="[Table1]" displayFolder="" count="2" memberValueDatatype="20" unbalanced="0"/>
    <cacheHierarchy uniqueName="[Table1].[Female]" caption="Female" attribute="1" defaultMemberUniqueName="[Table1].[Female].[All]" allUniqueName="[Table1].[Female].[All]" dimensionUniqueName="[Table1]" displayFolder="" count="2"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2" memberValueDatatype="20" unbalanced="0"/>
    <cacheHierarchy uniqueName="[Table1].[Sex ratio]" caption="Sex ratio" attribute="1" defaultMemberUniqueName="[Table1].[Sex ratio].[All]" allUniqueName="[Table1].[Sex ratio].[All]" dimensionUniqueName="[Table1]" displayFolder="" count="2" memberValueDatatype="20" unbalanced="0"/>
    <cacheHierarchy uniqueName="[Table1].[Rural[51]]]" caption="Rural[51]" attribute="1" defaultMemberUniqueName="[Table1].[Rural[51]]].[All]" allUniqueName="[Table1].[Rural[51]]].[All]" dimensionUniqueName="[Table1]" displayFolder="" count="2" memberValueDatatype="20" unbalanced="0"/>
    <cacheHierarchy uniqueName="[Table1].[Urban[51]]]" caption="Urban[51]" attribute="1" defaultMemberUniqueName="[Table1].[Urban[51]]].[All]" allUniqueName="[Table1].[Urban[51]]].[All]" dimensionUniqueName="[Table1]" displayFolder="" count="2" memberValueDatatype="20" unbalanced="0"/>
    <cacheHierarchy uniqueName="[Table1].[Area[52]] (km2)]" caption="Area[52] (km2)" attribute="1" defaultMemberUniqueName="[Table1].[Area[52]] (km2)].[All]" allUniqueName="[Table1].[Area[52]] (km2)].[All]" dimensionUniqueName="[Table1]" displayFolder="" count="2" memberValueDatatype="20" unbalanced="0"/>
    <cacheHierarchy uniqueName="[Table1].[Density (per km2)]" caption="Density (per km2)" attribute="1" defaultMemberUniqueName="[Table1].[Density (per km2)].[All]" allUniqueName="[Table1].[Density (per km2)].[All]" dimensionUniqueName="[Table1]" displayFolder="" count="2" memberValueDatatype="20" unbalanced="0"/>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3].[Column1]" caption="Column1" attribute="1" defaultMemberUniqueName="[Table3].[Column1].[All]" allUniqueName="[Table3].[Column1].[All]" dimensionUniqueName="[Table3]" displayFolder="" count="2" memberValueDatatype="130" unbalanced="0"/>
    <cacheHierarchy uniqueName="[Table3].[Column2]" caption="Column2" attribute="1" defaultMemberUniqueName="[Table3].[Column2].[All]" allUniqueName="[Table3].[Column2].[All]" dimensionUniqueName="[Table3]" displayFolder="" count="2"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hidden="1">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oneField="1" hidden="1">
      <fieldsUsage count="1">
        <fieldUsage x="2"/>
      </fieldsUsage>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oneField="1" hidden="1">
      <fieldsUsage count="1">
        <fieldUsage x="3"/>
      </fieldsUsage>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dimensions count="3">
    <dimension measure="1" name="Measures" uniqueName="[Measures]" caption="Measures"/>
    <dimension name="Table1" uniqueName="[Table1]" caption="Table1"/>
    <dimension name="Table3" uniqueName="[Table3]" caption="Table3"/>
  </dimensions>
  <measureGroups count="2">
    <measureGroup name="Table1" caption="Table1"/>
    <measureGroup name="Table3" caption="Table3"/>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5507.640975578703" backgroundQuery="1" createdVersion="3" refreshedVersion="6" minRefreshableVersion="3" recordCount="0" supportSubquery="1" supportAdvancedDrill="1" xr:uid="{0EA3BA44-BA1D-4185-B2C5-C74FFEBCD2BF}">
  <cacheSource type="external" connectionId="1">
    <extLst>
      <ext xmlns:x14="http://schemas.microsoft.com/office/spreadsheetml/2009/9/main" uri="{F057638F-6D5F-4e77-A914-E7F072B9BCA8}">
        <x14:sourceConnection name="ThisWorkbookDataModel"/>
      </ext>
    </extLst>
  </cacheSource>
  <cacheFields count="0"/>
  <cacheHierarchies count="31">
    <cacheHierarchy uniqueName="[Table1].[Sl No]" caption="Sl No" attribute="1" defaultMemberUniqueName="[Table1].[Sl No].[All]" allUniqueName="[Table1].[Sl No].[All]" dimensionUniqueName="[Table1]" displayFolder="" count="0" memberValueDatatype="20" unbalanced="0"/>
    <cacheHierarchy uniqueName="[Table1].[State/UT]" caption="State/UT" attribute="1" defaultMemberUniqueName="[Table1].[State/UT].[All]" allUniqueName="[Table1].[State/UT].[All]" dimensionUniqueName="[Table1]" displayFolder="" count="0" memberValueDatatype="130" unbalanced="0"/>
    <cacheHierarchy uniqueName="[Table1].[Population[50]]]" caption="Population[50]" attribute="1" defaultMemberUniqueName="[Table1].[Population[50]]].[All]" allUniqueName="[Table1].[Population[50]]].[All]" dimensionUniqueName="[Table1]" displayFolder="" count="0" memberValueDatatype="20" unbalanced="0"/>
    <cacheHierarchy uniqueName="[Table1].[Percent (%)]" caption="Percent (%)" attribute="1" defaultMemberUniqueName="[Table1].[Percent (%)].[All]" allUniqueName="[Table1].[Percent (%)].[All]" dimensionUniqueName="[Table1]" displayFolder="" count="0" memberValueDatatype="5" unbalanced="0"/>
    <cacheHierarchy uniqueName="[Table1].[Male]" caption="Male" attribute="1" defaultMemberUniqueName="[Table1].[Male].[All]" allUniqueName="[Table1].[Male].[All]" dimensionUniqueName="[Table1]" displayFolder="" count="0" memberValueDatatype="20" unbalanced="0"/>
    <cacheHierarchy uniqueName="[Table1].[Female]" caption="Female" attribute="1" defaultMemberUniqueName="[Table1].[Female].[All]" allUniqueName="[Table1].[Female].[All]" dimensionUniqueName="[Table1]" displayFolder="" count="0" memberValueDatatype="20" unbalanced="0"/>
    <cacheHierarchy uniqueName="[Table1].[Difference between male and female]" caption="Difference between male and female" attribute="1" defaultMemberUniqueName="[Table1].[Difference between male and female].[All]" allUniqueName="[Table1].[Difference between male and female].[All]" dimensionUniqueName="[Table1]" displayFolder="" count="0" memberValueDatatype="20" unbalanced="0"/>
    <cacheHierarchy uniqueName="[Table1].[Sex ratio]" caption="Sex ratio" attribute="1" defaultMemberUniqueName="[Table1].[Sex ratio].[All]" allUniqueName="[Table1].[Sex ratio].[All]" dimensionUniqueName="[Table1]" displayFolder="" count="0" memberValueDatatype="20" unbalanced="0"/>
    <cacheHierarchy uniqueName="[Table1].[Rural[51]]]" caption="Rural[51]" attribute="1" defaultMemberUniqueName="[Table1].[Rural[51]]].[All]" allUniqueName="[Table1].[Rural[51]]].[All]" dimensionUniqueName="[Table1]" displayFolder="" count="0" memberValueDatatype="20" unbalanced="0"/>
    <cacheHierarchy uniqueName="[Table1].[Urban[51]]]" caption="Urban[51]" attribute="1" defaultMemberUniqueName="[Table1].[Urban[51]]].[All]" allUniqueName="[Table1].[Urban[51]]].[All]" dimensionUniqueName="[Table1]" displayFolder="" count="0" memberValueDatatype="20" unbalanced="0"/>
    <cacheHierarchy uniqueName="[Table1].[Area[52]] (km2)]" caption="Area[52] (km2)" attribute="1" defaultMemberUniqueName="[Table1].[Area[52]] (km2)].[All]" allUniqueName="[Table1].[Area[52]] (km2)].[All]" dimensionUniqueName="[Table1]" displayFolder="" count="0" memberValueDatatype="20" unbalanced="0"/>
    <cacheHierarchy uniqueName="[Table1].[Density (per km2)]" caption="Density (per km2)" attribute="1" defaultMemberUniqueName="[Table1].[Density (per km2)].[All]" allUniqueName="[Table1].[Density (per km2)].[All]" dimensionUniqueName="[Table1]" displayFolder="" count="0" memberValueDatatype="20" unbalanced="0"/>
    <cacheHierarchy uniqueName="[Table1].[Region]" caption="Region" attribute="1" defaultMemberUniqueName="[Table1].[Region].[All]" allUniqueName="[Table1].[Region].[All]" dimensionUniqueName="[Table1]" displayFolder="" count="2" memberValueDatatype="130" unbalanced="0"/>
    <cacheHierarchy uniqueName="[Table3].[Column1]" caption="Column1" attribute="1" defaultMemberUniqueName="[Table3].[Column1].[All]" allUniqueName="[Table3].[Column1].[All]" dimensionUniqueName="[Table3]" displayFolder="" count="0" memberValueDatatype="130" unbalanced="0"/>
    <cacheHierarchy uniqueName="[Table3].[Column2]" caption="Column2" attribute="1" defaultMemberUniqueName="[Table3].[Column2].[All]" allUniqueName="[Table3].[Column2].[All]" dimensionUniqueName="[Table3]" displayFolder="" count="0" memberValueDatatype="130" unbalanced="0"/>
    <cacheHierarchy uniqueName="[Measures].[__XL_Count Table1]" caption="__XL_Count Table1" measure="1" displayFolder="" measureGroup="Table1" count="0" hidden="1"/>
    <cacheHierarchy uniqueName="[Measures].[__XL_Count Table3]" caption="__XL_Count Table3" measure="1" displayFolder="" measureGroup="Table3" count="0" hidden="1"/>
    <cacheHierarchy uniqueName="[Measures].[__No measures defined]" caption="__No measures defined" measure="1" displayFolder="" count="0" hidden="1"/>
    <cacheHierarchy uniqueName="[Measures].[Count of State/UT]" caption="Count of State/UT" measure="1" displayFolder="" measureGroup="Table1" count="0" hidden="1">
      <extLst>
        <ext xmlns:x15="http://schemas.microsoft.com/office/spreadsheetml/2010/11/main" uri="{B97F6D7D-B522-45F9-BDA1-12C45D357490}">
          <x15:cacheHierarchy aggregatedColumn="1"/>
        </ext>
      </extLst>
    </cacheHierarchy>
    <cacheHierarchy uniqueName="[Measures].[Sum of Population[50]]]" caption="Sum of Population[50]" measure="1" displayFolder="" measureGroup="Table1" count="0" hidden="1">
      <extLst>
        <ext xmlns:x15="http://schemas.microsoft.com/office/spreadsheetml/2010/11/main" uri="{B97F6D7D-B522-45F9-BDA1-12C45D357490}">
          <x15:cacheHierarchy aggregatedColumn="2"/>
        </ext>
      </extLst>
    </cacheHierarchy>
    <cacheHierarchy uniqueName="[Measures].[Sum of Male]" caption="Sum of Male" measure="1" displayFolder="" measureGroup="Table1" count="0" hidden="1">
      <extLst>
        <ext xmlns:x15="http://schemas.microsoft.com/office/spreadsheetml/2010/11/main" uri="{B97F6D7D-B522-45F9-BDA1-12C45D357490}">
          <x15:cacheHierarchy aggregatedColumn="4"/>
        </ext>
      </extLst>
    </cacheHierarchy>
    <cacheHierarchy uniqueName="[Measures].[Sum of Female]" caption="Sum of Female" measure="1" displayFolder="" measureGroup="Table1" count="0" hidden="1">
      <extLst>
        <ext xmlns:x15="http://schemas.microsoft.com/office/spreadsheetml/2010/11/main" uri="{B97F6D7D-B522-45F9-BDA1-12C45D357490}">
          <x15:cacheHierarchy aggregatedColumn="5"/>
        </ext>
      </extLst>
    </cacheHierarchy>
    <cacheHierarchy uniqueName="[Measures].[Sum of Percent (%)]" caption="Sum of Percent (%)" measure="1" displayFolder="" measureGroup="Table1" count="0" hidden="1">
      <extLst>
        <ext xmlns:x15="http://schemas.microsoft.com/office/spreadsheetml/2010/11/main" uri="{B97F6D7D-B522-45F9-BDA1-12C45D357490}">
          <x15:cacheHierarchy aggregatedColumn="3"/>
        </ext>
      </extLst>
    </cacheHierarchy>
    <cacheHierarchy uniqueName="[Measures].[Sum of Difference between male and female]" caption="Sum of Difference between male and female" measure="1" displayFolder="" measureGroup="Table1" count="0" hidden="1">
      <extLst>
        <ext xmlns:x15="http://schemas.microsoft.com/office/spreadsheetml/2010/11/main" uri="{B97F6D7D-B522-45F9-BDA1-12C45D357490}">
          <x15:cacheHierarchy aggregatedColumn="6"/>
        </ext>
      </extLst>
    </cacheHierarchy>
    <cacheHierarchy uniqueName="[Measures].[Sum of Sex ratio]" caption="Sum of Sex ratio" measure="1" displayFolder="" measureGroup="Table1" count="0" hidden="1">
      <extLst>
        <ext xmlns:x15="http://schemas.microsoft.com/office/spreadsheetml/2010/11/main" uri="{B97F6D7D-B522-45F9-BDA1-12C45D357490}">
          <x15:cacheHierarchy aggregatedColumn="7"/>
        </ext>
      </extLst>
    </cacheHierarchy>
    <cacheHierarchy uniqueName="[Measures].[Sum of Rural[51]]]" caption="Sum of Rural[51]" measure="1" displayFolder="" measureGroup="Table1" count="0" hidden="1">
      <extLst>
        <ext xmlns:x15="http://schemas.microsoft.com/office/spreadsheetml/2010/11/main" uri="{B97F6D7D-B522-45F9-BDA1-12C45D357490}">
          <x15:cacheHierarchy aggregatedColumn="8"/>
        </ext>
      </extLst>
    </cacheHierarchy>
    <cacheHierarchy uniqueName="[Measures].[Sum of Urban[51]]]" caption="Sum of Urban[51]" measure="1" displayFolder="" measureGroup="Table1" count="0" hidden="1">
      <extLst>
        <ext xmlns:x15="http://schemas.microsoft.com/office/spreadsheetml/2010/11/main" uri="{B97F6D7D-B522-45F9-BDA1-12C45D357490}">
          <x15:cacheHierarchy aggregatedColumn="9"/>
        </ext>
      </extLst>
    </cacheHierarchy>
    <cacheHierarchy uniqueName="[Measures].[Sum of Area[52]] (km2)]" caption="Sum of Area[52] (km2)" measure="1" displayFolder="" measureGroup="Table1" count="0" hidden="1">
      <extLst>
        <ext xmlns:x15="http://schemas.microsoft.com/office/spreadsheetml/2010/11/main" uri="{B97F6D7D-B522-45F9-BDA1-12C45D357490}">
          <x15:cacheHierarchy aggregatedColumn="10"/>
        </ext>
      </extLst>
    </cacheHierarchy>
    <cacheHierarchy uniqueName="[Measures].[Sum of Density (per km2)]" caption="Sum of Density (per km2)" measure="1" displayFolder="" measureGroup="Table1" count="0" hidden="1">
      <extLst>
        <ext xmlns:x15="http://schemas.microsoft.com/office/spreadsheetml/2010/11/main" uri="{B97F6D7D-B522-45F9-BDA1-12C45D357490}">
          <x15:cacheHierarchy aggregatedColumn="11"/>
        </ext>
      </extLst>
    </cacheHierarchy>
    <cacheHierarchy uniqueName="[Measures].[Count of Region]" caption="Count of Region" measure="1" displayFolder="" measureGroup="Table1" count="0" hidden="1">
      <extLst>
        <ext xmlns:x15="http://schemas.microsoft.com/office/spreadsheetml/2010/11/main" uri="{B97F6D7D-B522-45F9-BDA1-12C45D357490}">
          <x15:cacheHierarchy aggregatedColumn="12"/>
        </ext>
      </extLst>
    </cacheHierarchy>
    <cacheHierarchy uniqueName="[Measures].[Sum of Sl No]" caption="Sum of Sl No" measure="1" displayFolder="" measureGroup="Table1"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587542839"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n v="1"/>
    <x v="0"/>
    <n v="199812341"/>
    <n v="16.5"/>
    <n v="104480510"/>
    <n v="95331831"/>
    <n v="9148679"/>
    <n v="930"/>
    <n v="155111022"/>
    <n v="44470455"/>
    <n v="240928"/>
    <n v="828"/>
  </r>
  <r>
    <n v="2"/>
    <x v="1"/>
    <n v="112374333"/>
    <n v="9.2799999999999994"/>
    <n v="58243056"/>
    <n v="54131277"/>
    <n v="4111779"/>
    <n v="929"/>
    <n v="61545441"/>
    <n v="50827531"/>
    <n v="307713"/>
    <n v="365"/>
  </r>
  <r>
    <n v="3"/>
    <x v="2"/>
    <n v="104099452"/>
    <n v="8.6"/>
    <n v="54278157"/>
    <n v="49821295"/>
    <n v="4456862"/>
    <n v="918"/>
    <n v="92075028"/>
    <n v="11729609"/>
    <n v="94163"/>
    <n v="1102"/>
  </r>
  <r>
    <n v="4"/>
    <x v="3"/>
    <n v="91276115"/>
    <n v="7.54"/>
    <n v="46809027"/>
    <n v="44467088"/>
    <n v="2341939"/>
    <n v="950"/>
    <n v="62213676"/>
    <n v="29134060"/>
    <n v="88752"/>
    <n v="1030"/>
  </r>
  <r>
    <n v="5"/>
    <x v="4"/>
    <n v="72626809"/>
    <n v="6"/>
    <n v="37612306"/>
    <n v="35014503"/>
    <n v="2597803"/>
    <n v="931"/>
    <n v="52537899"/>
    <n v="20059666"/>
    <n v="308245"/>
    <n v="236"/>
  </r>
  <r>
    <n v="6"/>
    <x v="5"/>
    <n v="72147030"/>
    <n v="5.96"/>
    <n v="36137975"/>
    <n v="36009055"/>
    <n v="128920"/>
    <n v="996"/>
    <n v="37189229"/>
    <n v="34949729"/>
    <n v="130058"/>
    <n v="555"/>
  </r>
  <r>
    <n v="7"/>
    <x v="6"/>
    <n v="68548437"/>
    <n v="5.66"/>
    <n v="35550997"/>
    <n v="32997440"/>
    <n v="2553557"/>
    <n v="928"/>
    <n v="51540236"/>
    <n v="17080776"/>
    <n v="342239"/>
    <n v="201"/>
  </r>
  <r>
    <n v="8"/>
    <x v="7"/>
    <n v="61095297"/>
    <n v="5.05"/>
    <n v="30966657"/>
    <n v="30128640"/>
    <n v="838017"/>
    <n v="973"/>
    <n v="37552529"/>
    <n v="23578175"/>
    <n v="191791"/>
    <n v="319"/>
  </r>
  <r>
    <n v="9"/>
    <x v="8"/>
    <n v="60439692"/>
    <n v="4.99"/>
    <n v="31491260"/>
    <n v="28948432"/>
    <n v="2542828"/>
    <n v="919"/>
    <n v="34670817"/>
    <n v="25712811"/>
    <n v="196024"/>
    <n v="308"/>
  </r>
  <r>
    <n v="10"/>
    <x v="9"/>
    <n v="49386799"/>
    <n v="4.08"/>
    <n v="24738068"/>
    <n v="24648731"/>
    <n v="89337"/>
    <n v="996"/>
    <n v="34776389"/>
    <n v="14610410"/>
    <n v="160205"/>
    <n v="308"/>
  </r>
  <r>
    <n v="11"/>
    <x v="10"/>
    <n v="41974218"/>
    <n v="3.47"/>
    <n v="21212136"/>
    <n v="20762082"/>
    <n v="450054"/>
    <n v="979"/>
    <n v="34951234"/>
    <n v="6996124"/>
    <n v="155707"/>
    <n v="269"/>
  </r>
  <r>
    <n v="12"/>
    <x v="11"/>
    <n v="35193978"/>
    <n v="2.91"/>
    <n v="17704078"/>
    <n v="17489900"/>
    <n v="214178"/>
    <n v="988"/>
    <n v="21585313"/>
    <n v="13608665"/>
    <n v="114840"/>
    <n v="307"/>
  </r>
  <r>
    <n v="13"/>
    <x v="12"/>
    <n v="33406061"/>
    <n v="2.76"/>
    <n v="16027412"/>
    <n v="17378649"/>
    <n v="1351237"/>
    <n v="1084"/>
    <n v="17445506"/>
    <n v="15932171"/>
    <n v="38863"/>
    <n v="859"/>
  </r>
  <r>
    <n v="14"/>
    <x v="13"/>
    <n v="32988134"/>
    <n v="2.72"/>
    <n v="16930315"/>
    <n v="16057819"/>
    <n v="872496"/>
    <n v="948"/>
    <n v="25036946"/>
    <n v="7929292"/>
    <n v="79714"/>
    <n v="414"/>
  </r>
  <r>
    <n v="15"/>
    <x v="14"/>
    <n v="31205576"/>
    <n v="2.58"/>
    <n v="15939443"/>
    <n v="15266133"/>
    <n v="673310"/>
    <n v="958"/>
    <n v="26780526"/>
    <n v="4388756"/>
    <n v="78438"/>
    <n v="397"/>
  </r>
  <r>
    <n v="16"/>
    <x v="15"/>
    <n v="27743338"/>
    <n v="2.29"/>
    <n v="14639465"/>
    <n v="13103873"/>
    <n v="1535592"/>
    <n v="895"/>
    <n v="17316800"/>
    <n v="10387436"/>
    <n v="50362"/>
    <n v="550"/>
  </r>
  <r>
    <n v="17"/>
    <x v="16"/>
    <n v="25545198"/>
    <n v="2.11"/>
    <n v="12832895"/>
    <n v="12712303"/>
    <n v="120592"/>
    <n v="991"/>
    <n v="19603658"/>
    <n v="5936538"/>
    <n v="135191"/>
    <n v="189"/>
  </r>
  <r>
    <n v="18"/>
    <x v="17"/>
    <n v="25351462"/>
    <n v="2.09"/>
    <n v="13494734"/>
    <n v="11856728"/>
    <n v="1638006"/>
    <n v="879"/>
    <n v="16531493"/>
    <n v="8821588"/>
    <n v="44212"/>
    <n v="573"/>
  </r>
  <r>
    <n v="19"/>
    <x v="18"/>
    <n v="16787941"/>
    <n v="1.39"/>
    <n v="8887326"/>
    <n v="7800615"/>
    <n v="1086711"/>
    <n v="868"/>
    <n v="944727"/>
    <n v="12905780"/>
    <n v="1484"/>
    <n v="11297"/>
  </r>
  <r>
    <n v="20"/>
    <x v="19"/>
    <n v="12541302"/>
    <n v="1.04"/>
    <n v="6640662"/>
    <n v="5900640"/>
    <n v="740022"/>
    <n v="889"/>
    <n v="9134820"/>
    <n v="3414106"/>
    <n v="222236"/>
    <n v="56"/>
  </r>
  <r>
    <n v="21"/>
    <x v="20"/>
    <n v="10086292"/>
    <n v="0.83"/>
    <n v="5137773"/>
    <n v="4948519"/>
    <n v="189254"/>
    <n v="963"/>
    <n v="7025583"/>
    <n v="3091169"/>
    <n v="53483"/>
    <n v="189"/>
  </r>
  <r>
    <n v="22"/>
    <x v="21"/>
    <n v="6864602"/>
    <n v="0.56999999999999995"/>
    <n v="3481873"/>
    <n v="3382729"/>
    <n v="99144"/>
    <n v="972"/>
    <n v="6167805"/>
    <n v="688704"/>
    <n v="55673"/>
    <n v="123"/>
  </r>
  <r>
    <n v="23"/>
    <x v="22"/>
    <n v="3673917"/>
    <n v="0.3"/>
    <n v="1874376"/>
    <n v="1799541"/>
    <n v="74835"/>
    <n v="960"/>
    <n v="2710051"/>
    <n v="960981"/>
    <n v="10486"/>
    <n v="350"/>
  </r>
  <r>
    <n v="24"/>
    <x v="23"/>
    <n v="2966889"/>
    <n v="0.25"/>
    <n v="1491832"/>
    <n v="1475057"/>
    <n v="16775"/>
    <n v="989"/>
    <n v="2368971"/>
    <n v="595036"/>
    <n v="22429"/>
    <n v="132"/>
  </r>
  <r>
    <n v="25"/>
    <x v="24"/>
    <n v="2855794"/>
    <n v="0.24"/>
    <n v="1438687"/>
    <n v="1417107"/>
    <n v="21580"/>
    <n v="985"/>
    <n v="1899624"/>
    <n v="822132"/>
    <n v="22327"/>
    <n v="128"/>
  </r>
  <r>
    <n v="26"/>
    <x v="25"/>
    <n v="1978502"/>
    <n v="0.16"/>
    <n v="1024649"/>
    <n v="953853"/>
    <n v="70796"/>
    <n v="931"/>
    <n v="1406861"/>
    <n v="573741"/>
    <n v="16579"/>
    <n v="119"/>
  </r>
  <r>
    <n v="27"/>
    <x v="26"/>
    <n v="1458545"/>
    <n v="0.12"/>
    <n v="739140"/>
    <n v="719405"/>
    <n v="19735"/>
    <n v="973"/>
    <n v="551414"/>
    <n v="906309"/>
    <n v="3702"/>
    <n v="394"/>
  </r>
  <r>
    <n v="28"/>
    <x v="27"/>
    <n v="1383727"/>
    <n v="0.11"/>
    <n v="713912"/>
    <n v="669815"/>
    <n v="44097"/>
    <n v="938"/>
    <n v="1069165"/>
    <n v="313446"/>
    <n v="83743"/>
    <n v="17"/>
  </r>
  <r>
    <n v="29"/>
    <x v="28"/>
    <n v="1247953"/>
    <n v="0.1"/>
    <n v="612511"/>
    <n v="635442"/>
    <n v="22931"/>
    <n v="1037"/>
    <n v="394341"/>
    <n v="850123"/>
    <n v="479"/>
    <n v="2598"/>
  </r>
  <r>
    <n v="30"/>
    <x v="29"/>
    <n v="1097206"/>
    <n v="0.09"/>
    <n v="555339"/>
    <n v="541867"/>
    <n v="13472"/>
    <n v="976"/>
    <n v="529037"/>
    <n v="561997"/>
    <n v="21081"/>
    <n v="52"/>
  </r>
  <r>
    <n v="31"/>
    <x v="30"/>
    <n v="1055450"/>
    <n v="0.09"/>
    <n v="580663"/>
    <n v="474787"/>
    <n v="105876"/>
    <n v="818"/>
    <n v="29004"/>
    <n v="1025682"/>
    <n v="114"/>
    <n v="9252"/>
  </r>
  <r>
    <n v="32"/>
    <x v="31"/>
    <n v="610577"/>
    <n v="0.05"/>
    <n v="323070"/>
    <n v="287507"/>
    <n v="35563"/>
    <n v="890"/>
    <n v="455962"/>
    <n v="151726"/>
    <n v="7096"/>
    <n v="86"/>
  </r>
  <r>
    <n v="33"/>
    <x v="32"/>
    <n v="380581"/>
    <n v="0.03"/>
    <n v="202871"/>
    <n v="177710"/>
    <n v="25161"/>
    <n v="876"/>
    <n v="244411"/>
    <n v="135533"/>
    <n v="8249"/>
    <n v="46"/>
  </r>
  <r>
    <n v="34"/>
    <x v="33"/>
    <n v="343709"/>
    <n v="0.03"/>
    <n v="193760"/>
    <n v="149949"/>
    <n v="43811"/>
    <n v="774"/>
    <n v="183024"/>
    <n v="159829"/>
    <n v="491"/>
    <n v="698"/>
  </r>
  <r>
    <n v="35"/>
    <x v="34"/>
    <n v="243247"/>
    <n v="0.02"/>
    <n v="150301"/>
    <n v="92946"/>
    <n v="57355"/>
    <n v="618"/>
    <n v="60331"/>
    <n v="182580"/>
    <n v="112"/>
    <n v="2169"/>
  </r>
  <r>
    <n v="36"/>
    <x v="35"/>
    <n v="64473"/>
    <n v="0.01"/>
    <n v="33123"/>
    <n v="31350"/>
    <n v="1773"/>
    <n v="946"/>
    <n v="14121"/>
    <n v="50308"/>
    <n v="32"/>
    <n v="20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7EED2C-C99F-4FCE-AE48-16968090B584}" name="PivotTable6" cacheId="37"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location ref="Z4:AA40" firstHeaderRow="1" firstDataRow="1" firstDataCol="1"/>
  <pivotFields count="3">
    <pivotField axis="axisRow" allDrilled="1" subtotalTop="0" showAll="0"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36">
    <i>
      <x v="33"/>
    </i>
    <i>
      <x v="20"/>
    </i>
    <i>
      <x v="4"/>
    </i>
    <i>
      <x v="35"/>
    </i>
    <i>
      <x v="19"/>
    </i>
    <i>
      <x v="30"/>
    </i>
    <i>
      <x v="28"/>
    </i>
    <i>
      <x v="16"/>
    </i>
    <i>
      <x v="11"/>
    </i>
    <i>
      <x v="1"/>
    </i>
    <i>
      <x v="25"/>
    </i>
    <i>
      <x v="31"/>
    </i>
    <i>
      <x v="17"/>
    </i>
    <i>
      <x v="15"/>
    </i>
    <i>
      <x v="3"/>
    </i>
    <i>
      <x v="27"/>
    </i>
    <i>
      <x v="6"/>
    </i>
    <i>
      <x v="12"/>
    </i>
    <i>
      <x v="9"/>
    </i>
    <i>
      <x v="14"/>
    </i>
    <i>
      <x v="34"/>
    </i>
    <i>
      <x v="13"/>
    </i>
    <i>
      <x v="32"/>
    </i>
    <i>
      <x v="22"/>
    </i>
    <i>
      <x v="21"/>
    </i>
    <i>
      <x v="24"/>
    </i>
    <i>
      <x v="10"/>
    </i>
    <i>
      <x v="2"/>
    </i>
    <i>
      <x v="26"/>
    </i>
    <i>
      <x v="23"/>
    </i>
    <i>
      <x v="5"/>
    </i>
    <i>
      <x v="29"/>
    </i>
    <i>
      <x/>
    </i>
    <i>
      <x v="7"/>
    </i>
    <i>
      <x v="8"/>
    </i>
    <i>
      <x v="18"/>
    </i>
  </rowItems>
  <colItems count="1">
    <i/>
  </colItems>
  <dataFields count="1">
    <dataField name="Sum of Population[50]" fld="1"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42A729-15A3-4B3B-88DC-D7EBCF600F7B}" name="PivotTable5" cacheId="34"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rowHeaderCaption="">
  <location ref="H4:I45" firstHeaderRow="1" firstDataRow="1" firstDataCol="1"/>
  <pivotFields count="3">
    <pivotField axis="axisRow" allDrilled="1" subtotalTop="0" showAll="0" dataSourceSort="1" defaultSubtotal="0" defaultAttributeDrillState="1">
      <items count="5">
        <item x="0"/>
        <item x="1"/>
        <item x="2"/>
        <item x="3"/>
        <item x="4"/>
      </items>
    </pivotField>
    <pivotField axis="axisRow" allDrilled="1" subtotalTop="0" showAll="0" defaultSubtotal="0" defaultAttributeDrillState="1">
      <items count="36">
        <item x="12"/>
        <item x="13"/>
        <item x="14"/>
        <item x="15"/>
        <item x="16"/>
        <item x="17"/>
        <item x="0"/>
        <item x="1"/>
        <item x="2"/>
        <item x="3"/>
        <item x="4"/>
        <item x="5"/>
        <item x="6"/>
        <item x="7"/>
        <item x="8"/>
        <item x="9"/>
        <item x="10"/>
        <item x="11"/>
        <item x="18"/>
        <item x="19"/>
        <item x="20"/>
        <item x="21"/>
        <item x="22"/>
        <item x="23"/>
        <item x="24"/>
        <item x="25"/>
        <item x="26"/>
        <item x="27"/>
        <item x="28"/>
        <item x="29"/>
        <item x="30"/>
        <item x="31"/>
        <item x="32"/>
        <item x="33"/>
        <item x="34"/>
        <item x="35"/>
      </items>
    </pivotField>
    <pivotField dataField="1" subtotalTop="0" showAll="0" defaultSubtotal="0"/>
  </pivotFields>
  <rowFields count="2">
    <field x="0"/>
    <field x="1"/>
  </rowFields>
  <rowItems count="41">
    <i>
      <x/>
    </i>
    <i r="1">
      <x v="6"/>
    </i>
    <i r="1">
      <x v="7"/>
    </i>
    <i r="1">
      <x v="8"/>
    </i>
    <i r="1">
      <x v="9"/>
    </i>
    <i r="1">
      <x v="10"/>
    </i>
    <i r="1">
      <x v="11"/>
    </i>
    <i r="1">
      <x v="12"/>
    </i>
    <i r="1">
      <x v="13"/>
    </i>
    <i r="1">
      <x v="14"/>
    </i>
    <i r="1">
      <x v="15"/>
    </i>
    <i r="1">
      <x v="16"/>
    </i>
    <i r="1">
      <x v="17"/>
    </i>
    <i>
      <x v="1"/>
    </i>
    <i r="1">
      <x/>
    </i>
    <i r="1">
      <x v="1"/>
    </i>
    <i r="1">
      <x v="2"/>
    </i>
    <i r="1">
      <x v="3"/>
    </i>
    <i r="1">
      <x v="4"/>
    </i>
    <i r="1">
      <x v="5"/>
    </i>
    <i>
      <x v="2"/>
    </i>
    <i r="1">
      <x v="18"/>
    </i>
    <i r="1">
      <x v="19"/>
    </i>
    <i r="1">
      <x v="20"/>
    </i>
    <i r="1">
      <x v="21"/>
    </i>
    <i r="1">
      <x v="22"/>
    </i>
    <i>
      <x v="3"/>
    </i>
    <i r="1">
      <x v="23"/>
    </i>
    <i r="1">
      <x v="24"/>
    </i>
    <i r="1">
      <x v="25"/>
    </i>
    <i r="1">
      <x v="26"/>
    </i>
    <i r="1">
      <x v="27"/>
    </i>
    <i r="1">
      <x v="28"/>
    </i>
    <i r="1">
      <x v="29"/>
    </i>
    <i>
      <x v="4"/>
    </i>
    <i r="1">
      <x v="30"/>
    </i>
    <i r="1">
      <x v="31"/>
    </i>
    <i r="1">
      <x v="32"/>
    </i>
    <i r="1">
      <x v="33"/>
    </i>
    <i r="1">
      <x v="34"/>
    </i>
    <i r="1">
      <x v="35"/>
    </i>
  </rowItems>
  <colItems count="1">
    <i/>
  </colItems>
  <dataFields count="1">
    <dataField name="Sum of Sex ratio" fld="2"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07ABAEA-7702-4FC6-B99C-6572BF40ADF6}" name="PivotTable4" cacheId="28"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location ref="B4:C45" firstHeaderRow="1" firstDataRow="1" firstDataCol="1"/>
  <pivotFields count="3">
    <pivotField axis="axisRow" allDrilled="1" subtotalTop="0" showAll="0" dataSourceSort="1" defaultSubtotal="0" defaultAttributeDrillState="1">
      <items count="5">
        <item x="0"/>
        <item x="1"/>
        <item x="2"/>
        <item x="3"/>
        <item x="4"/>
      </items>
    </pivotField>
    <pivotField axis="axisRow" allDrilled="1" subtotalTop="0" showAll="0"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dataField="1" subtotalTop="0" showAll="0" defaultSubtotal="0"/>
  </pivotFields>
  <rowFields count="2">
    <field x="0"/>
    <field x="1"/>
  </rowFields>
  <rowItems count="41">
    <i>
      <x/>
    </i>
    <i r="1">
      <x v="11"/>
    </i>
    <i r="1">
      <x v="8"/>
    </i>
    <i r="1">
      <x v="3"/>
    </i>
    <i r="1">
      <x v="1"/>
    </i>
    <i r="1">
      <x v="2"/>
    </i>
    <i r="1">
      <x v="10"/>
    </i>
    <i r="1">
      <x v="5"/>
    </i>
    <i r="1">
      <x v="4"/>
    </i>
    <i r="1">
      <x v="7"/>
    </i>
    <i r="1">
      <x/>
    </i>
    <i r="1">
      <x v="6"/>
    </i>
    <i r="1">
      <x v="9"/>
    </i>
    <i>
      <x v="1"/>
    </i>
    <i r="1">
      <x v="16"/>
    </i>
    <i r="1">
      <x v="12"/>
    </i>
    <i r="1">
      <x v="15"/>
    </i>
    <i r="1">
      <x v="14"/>
    </i>
    <i r="1">
      <x v="17"/>
    </i>
    <i r="1">
      <x v="13"/>
    </i>
    <i>
      <x v="2"/>
    </i>
    <i r="1">
      <x v="21"/>
    </i>
    <i r="1">
      <x v="19"/>
    </i>
    <i r="1">
      <x v="18"/>
    </i>
    <i r="1">
      <x v="22"/>
    </i>
    <i r="1">
      <x v="20"/>
    </i>
    <i>
      <x v="3"/>
    </i>
    <i r="1">
      <x v="27"/>
    </i>
    <i r="1">
      <x v="29"/>
    </i>
    <i r="1">
      <x v="24"/>
    </i>
    <i r="1">
      <x v="23"/>
    </i>
    <i r="1">
      <x v="25"/>
    </i>
    <i r="1">
      <x v="26"/>
    </i>
    <i r="1">
      <x v="28"/>
    </i>
    <i>
      <x v="4"/>
    </i>
    <i r="1">
      <x v="33"/>
    </i>
    <i r="1">
      <x v="35"/>
    </i>
    <i r="1">
      <x v="32"/>
    </i>
    <i r="1">
      <x v="34"/>
    </i>
    <i r="1">
      <x v="30"/>
    </i>
    <i r="1">
      <x v="31"/>
    </i>
  </rowItems>
  <colItems count="1">
    <i/>
  </colItems>
  <dataFields count="1">
    <dataField name="Sum of Population[50]" fld="2"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2BA46C1-A8A5-491D-A1F2-3B894B04C227}" name="PivotTable3" cacheId="31"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rowHeaderCaption="">
  <location ref="Q4:S45" firstHeaderRow="0" firstDataRow="1" firstDataCol="1"/>
  <pivotFields count="4">
    <pivotField axis="axisRow" allDrilled="1" subtotalTop="0" showAll="0"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s>
  <rowFields count="2">
    <field x="3"/>
    <field x="0"/>
  </rowFields>
  <rowItems count="41">
    <i>
      <x/>
    </i>
    <i r="1">
      <x v="11"/>
    </i>
    <i r="1">
      <x v="8"/>
    </i>
    <i r="1">
      <x v="3"/>
    </i>
    <i r="1">
      <x v="1"/>
    </i>
    <i r="1">
      <x v="2"/>
    </i>
    <i r="1">
      <x v="10"/>
    </i>
    <i r="1">
      <x v="5"/>
    </i>
    <i r="1">
      <x v="4"/>
    </i>
    <i r="1">
      <x v="7"/>
    </i>
    <i r="1">
      <x/>
    </i>
    <i r="1">
      <x v="6"/>
    </i>
    <i r="1">
      <x v="9"/>
    </i>
    <i>
      <x v="1"/>
    </i>
    <i r="1">
      <x v="16"/>
    </i>
    <i r="1">
      <x v="12"/>
    </i>
    <i r="1">
      <x v="15"/>
    </i>
    <i r="1">
      <x v="14"/>
    </i>
    <i r="1">
      <x v="17"/>
    </i>
    <i r="1">
      <x v="13"/>
    </i>
    <i>
      <x v="2"/>
    </i>
    <i r="1">
      <x v="21"/>
    </i>
    <i r="1">
      <x v="19"/>
    </i>
    <i r="1">
      <x v="18"/>
    </i>
    <i r="1">
      <x v="22"/>
    </i>
    <i r="1">
      <x v="20"/>
    </i>
    <i>
      <x v="3"/>
    </i>
    <i r="1">
      <x v="27"/>
    </i>
    <i r="1">
      <x v="29"/>
    </i>
    <i r="1">
      <x v="24"/>
    </i>
    <i r="1">
      <x v="23"/>
    </i>
    <i r="1">
      <x v="25"/>
    </i>
    <i r="1">
      <x v="26"/>
    </i>
    <i r="1">
      <x v="28"/>
    </i>
    <i>
      <x v="4"/>
    </i>
    <i r="1">
      <x v="33"/>
    </i>
    <i r="1">
      <x v="35"/>
    </i>
    <i r="1">
      <x v="32"/>
    </i>
    <i r="1">
      <x v="34"/>
    </i>
    <i r="1">
      <x v="30"/>
    </i>
    <i r="1">
      <x v="31"/>
    </i>
  </rowItems>
  <colFields count="1">
    <field x="-2"/>
  </colFields>
  <colItems count="2">
    <i>
      <x/>
    </i>
    <i i="1">
      <x v="1"/>
    </i>
  </colItems>
  <dataFields count="2">
    <dataField name="Sum of Male" fld="1" baseField="0" baseItem="0"/>
    <dataField name="Sum of Female" fld="2"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DC3752-581F-48A1-90FA-EC5250D6026B}" name="PivotTable8" cacheId="43"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location ref="A61:C102" firstHeaderRow="0" firstDataRow="1" firstDataCol="1"/>
  <pivotFields count="4">
    <pivotField axis="axisRow" allDrilled="1" subtotalTop="0" showAll="0" dataSourceSort="1" defaultSubtotal="0" defaultAttributeDrillState="1">
      <items count="5">
        <item x="0"/>
        <item x="1"/>
        <item x="2"/>
        <item x="3"/>
        <item x="4"/>
      </items>
    </pivotField>
    <pivotField axis="axisRow" allDrilled="1" subtotalTop="0" showAll="0"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2">
    <field x="0"/>
    <field x="1"/>
  </rowFields>
  <rowItems count="41">
    <i>
      <x/>
    </i>
    <i r="1">
      <x v="11"/>
    </i>
    <i r="1">
      <x v="8"/>
    </i>
    <i r="1">
      <x v="3"/>
    </i>
    <i r="1">
      <x v="1"/>
    </i>
    <i r="1">
      <x v="2"/>
    </i>
    <i r="1">
      <x v="10"/>
    </i>
    <i r="1">
      <x v="5"/>
    </i>
    <i r="1">
      <x v="4"/>
    </i>
    <i r="1">
      <x v="7"/>
    </i>
    <i r="1">
      <x/>
    </i>
    <i r="1">
      <x v="6"/>
    </i>
    <i r="1">
      <x v="9"/>
    </i>
    <i>
      <x v="1"/>
    </i>
    <i r="1">
      <x v="16"/>
    </i>
    <i r="1">
      <x v="12"/>
    </i>
    <i r="1">
      <x v="15"/>
    </i>
    <i r="1">
      <x v="14"/>
    </i>
    <i r="1">
      <x v="17"/>
    </i>
    <i r="1">
      <x v="13"/>
    </i>
    <i>
      <x v="2"/>
    </i>
    <i r="1">
      <x v="21"/>
    </i>
    <i r="1">
      <x v="19"/>
    </i>
    <i r="1">
      <x v="18"/>
    </i>
    <i r="1">
      <x v="22"/>
    </i>
    <i r="1">
      <x v="20"/>
    </i>
    <i>
      <x v="3"/>
    </i>
    <i r="1">
      <x v="27"/>
    </i>
    <i r="1">
      <x v="29"/>
    </i>
    <i r="1">
      <x v="24"/>
    </i>
    <i r="1">
      <x v="23"/>
    </i>
    <i r="1">
      <x v="25"/>
    </i>
    <i r="1">
      <x v="26"/>
    </i>
    <i r="1">
      <x v="28"/>
    </i>
    <i>
      <x v="4"/>
    </i>
    <i r="1">
      <x v="33"/>
    </i>
    <i r="1">
      <x v="35"/>
    </i>
    <i r="1">
      <x v="32"/>
    </i>
    <i r="1">
      <x v="34"/>
    </i>
    <i r="1">
      <x v="30"/>
    </i>
    <i r="1">
      <x v="31"/>
    </i>
  </rowItems>
  <colFields count="1">
    <field x="-2"/>
  </colFields>
  <colItems count="2">
    <i>
      <x/>
    </i>
    <i i="1">
      <x v="1"/>
    </i>
  </colItems>
  <dataFields count="2">
    <dataField name="Sum of Male" fld="2" baseField="0" baseItem="0"/>
    <dataField name="Sum of Female" fld="3"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6287A37-CFCB-43F6-AA29-6D4180058087}" name="PivotTable7" cacheId="40" applyNumberFormats="0" applyBorderFormats="0" applyFontFormats="0" applyPatternFormats="0" applyAlignmentFormats="0" applyWidthHeightFormats="1" dataCaption="Values" updatedVersion="6" minRefreshableVersion="3" useAutoFormatting="1" subtotalHiddenItems="1" rowGrandTotals="0" colGrandTotals="0" itemPrintTitles="1" createdVersion="6" indent="0" outline="1" outlineData="1" multipleFieldFilters="0">
  <location ref="AE4:AF45" firstHeaderRow="1" firstDataRow="1" firstDataCol="1"/>
  <pivotFields count="3">
    <pivotField axis="axisRow" allDrilled="1" subtotalTop="0" showAll="0"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5">
        <item x="0"/>
        <item x="1"/>
        <item x="2"/>
        <item x="3"/>
        <item x="4"/>
      </items>
    </pivotField>
    <pivotField dataField="1" subtotalTop="0" showAll="0" defaultSubtotal="0"/>
  </pivotFields>
  <rowFields count="2">
    <field x="1"/>
    <field x="0"/>
  </rowFields>
  <rowItems count="41">
    <i>
      <x/>
    </i>
    <i r="1">
      <x v="11"/>
    </i>
    <i r="1">
      <x v="2"/>
    </i>
    <i r="1">
      <x v="3"/>
    </i>
    <i r="1">
      <x v="1"/>
    </i>
    <i r="1">
      <x v="8"/>
    </i>
    <i r="1">
      <x v="10"/>
    </i>
    <i r="1">
      <x v="7"/>
    </i>
    <i r="1">
      <x/>
    </i>
    <i r="1">
      <x v="9"/>
    </i>
    <i r="1">
      <x v="4"/>
    </i>
    <i r="1">
      <x v="5"/>
    </i>
    <i r="1">
      <x v="6"/>
    </i>
    <i>
      <x v="1"/>
    </i>
    <i r="1">
      <x v="16"/>
    </i>
    <i r="1">
      <x v="12"/>
    </i>
    <i r="1">
      <x v="15"/>
    </i>
    <i r="1">
      <x v="14"/>
    </i>
    <i r="1">
      <x v="17"/>
    </i>
    <i r="1">
      <x v="13"/>
    </i>
    <i>
      <x v="2"/>
    </i>
    <i r="1">
      <x v="20"/>
    </i>
    <i r="1">
      <x v="19"/>
    </i>
    <i r="1">
      <x v="22"/>
    </i>
    <i r="1">
      <x v="21"/>
    </i>
    <i r="1">
      <x v="18"/>
    </i>
    <i>
      <x v="3"/>
    </i>
    <i r="1">
      <x v="27"/>
    </i>
    <i r="1">
      <x v="24"/>
    </i>
    <i r="1">
      <x v="26"/>
    </i>
    <i r="1">
      <x v="25"/>
    </i>
    <i r="1">
      <x v="23"/>
    </i>
    <i r="1">
      <x v="29"/>
    </i>
    <i r="1">
      <x v="28"/>
    </i>
    <i>
      <x v="4"/>
    </i>
    <i r="1">
      <x v="33"/>
    </i>
    <i r="1">
      <x v="35"/>
    </i>
    <i r="1">
      <x v="32"/>
    </i>
    <i r="1">
      <x v="34"/>
    </i>
    <i r="1">
      <x v="30"/>
    </i>
    <i r="1">
      <x v="31"/>
    </i>
  </rowItems>
  <colItems count="1">
    <i/>
  </colItems>
  <dataFields count="1">
    <dataField name="Sum of Difference between male and female" fld="2" baseField="0" baseItem="0"/>
  </dataFields>
  <pivotHierarchies count="3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2"/>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Population of India.csv!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400-000006000000}" name="PivotTable2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S3:AU20" firstHeaderRow="1" firstDataRow="1" firstDataCol="0"/>
  <pivotFields count="12">
    <pivotField showAll="0"/>
    <pivotField showAll="0">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pivotField>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Q3:R39" firstHeaderRow="1"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pivotField showAll="0"/>
    <pivotField showAll="0"/>
    <pivotField showAll="0"/>
    <pivotField showAll="0"/>
    <pivotField showAll="0"/>
  </pivotFields>
  <rowFields count="1">
    <field x="1"/>
  </rowFields>
  <rowItems count="36">
    <i>
      <x v="33"/>
    </i>
    <i>
      <x v="4"/>
    </i>
    <i>
      <x v="20"/>
    </i>
    <i>
      <x v="19"/>
    </i>
    <i>
      <x v="28"/>
    </i>
    <i>
      <x v="11"/>
    </i>
    <i>
      <x v="35"/>
    </i>
    <i>
      <x v="12"/>
    </i>
    <i>
      <x v="27"/>
    </i>
    <i>
      <x v="17"/>
    </i>
    <i>
      <x v="9"/>
    </i>
    <i>
      <x v="15"/>
    </i>
    <i>
      <x v="16"/>
    </i>
    <i>
      <x v="14"/>
    </i>
    <i>
      <x v="3"/>
    </i>
    <i>
      <x v="25"/>
    </i>
    <i>
      <x v="31"/>
    </i>
    <i>
      <x v="34"/>
    </i>
    <i>
      <x v="30"/>
    </i>
    <i>
      <x v="6"/>
    </i>
    <i>
      <x v="5"/>
    </i>
    <i>
      <x v="13"/>
    </i>
    <i>
      <x v="1"/>
    </i>
    <i>
      <x v="32"/>
    </i>
    <i>
      <x v="24"/>
    </i>
    <i>
      <x v="8"/>
    </i>
    <i>
      <x v="2"/>
    </i>
    <i>
      <x v="7"/>
    </i>
    <i>
      <x v="29"/>
    </i>
    <i>
      <x/>
    </i>
    <i>
      <x v="26"/>
    </i>
    <i>
      <x v="21"/>
    </i>
    <i>
      <x v="10"/>
    </i>
    <i>
      <x v="22"/>
    </i>
    <i>
      <x v="23"/>
    </i>
    <i>
      <x v="18"/>
    </i>
  </rowItems>
  <colItems count="1">
    <i/>
  </colItems>
  <dataFields count="1">
    <dataField name="Sum of Difference between male and female"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400-000005000000}" name="PivotTable1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M3:AN39" firstHeaderRow="1"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dataField="1" showAll="0"/>
    <pivotField showAll="0"/>
    <pivotField showAll="0"/>
  </pivotFields>
  <rowFields count="1">
    <field x="1"/>
  </rowFields>
  <rowItems count="36">
    <i>
      <x v="20"/>
    </i>
    <i>
      <x v="33"/>
    </i>
    <i>
      <x v="30"/>
    </i>
    <i>
      <x v="35"/>
    </i>
    <i>
      <x v="11"/>
    </i>
    <i>
      <x v="16"/>
    </i>
    <i>
      <x v="19"/>
    </i>
    <i>
      <x v="28"/>
    </i>
    <i>
      <x v="17"/>
    </i>
    <i>
      <x v="1"/>
    </i>
    <i>
      <x v="31"/>
    </i>
    <i>
      <x v="9"/>
    </i>
    <i>
      <x v="4"/>
    </i>
    <i>
      <x v="27"/>
    </i>
    <i>
      <x v="12"/>
    </i>
    <i>
      <x v="15"/>
    </i>
    <i>
      <x v="25"/>
    </i>
    <i>
      <x v="6"/>
    </i>
    <i>
      <x v="3"/>
    </i>
    <i>
      <x v="14"/>
    </i>
    <i>
      <x v="34"/>
    </i>
    <i>
      <x v="5"/>
    </i>
    <i>
      <x v="32"/>
    </i>
    <i>
      <x v="10"/>
    </i>
    <i>
      <x v="26"/>
    </i>
    <i>
      <x v="21"/>
    </i>
    <i>
      <x v="13"/>
    </i>
    <i>
      <x v="22"/>
    </i>
    <i>
      <x v="24"/>
    </i>
    <i>
      <x v="23"/>
    </i>
    <i>
      <x v="2"/>
    </i>
    <i>
      <x v="8"/>
    </i>
    <i>
      <x v="7"/>
    </i>
    <i>
      <x v="29"/>
    </i>
    <i>
      <x/>
    </i>
    <i>
      <x v="18"/>
    </i>
  </rowItems>
  <colItems count="1">
    <i/>
  </colItems>
  <dataFields count="1">
    <dataField name="Sum of Urban[51]"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400-000004000000}" name="PivotTable17"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G3:AH39" firstHeaderRow="1"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dataField="1" showAll="0"/>
    <pivotField showAll="0"/>
    <pivotField showAll="0"/>
    <pivotField showAll="0"/>
  </pivotFields>
  <rowFields count="1">
    <field x="1"/>
  </rowFields>
  <rowItems count="36">
    <i>
      <x v="33"/>
    </i>
    <i>
      <x v="4"/>
    </i>
    <i>
      <x v="35"/>
    </i>
    <i>
      <x v="20"/>
    </i>
    <i>
      <x v="19"/>
    </i>
    <i>
      <x v="28"/>
    </i>
    <i>
      <x v="16"/>
    </i>
    <i>
      <x v="30"/>
    </i>
    <i>
      <x v="25"/>
    </i>
    <i>
      <x v="1"/>
    </i>
    <i>
      <x v="11"/>
    </i>
    <i>
      <x v="3"/>
    </i>
    <i>
      <x v="15"/>
    </i>
    <i>
      <x v="31"/>
    </i>
    <i>
      <x v="6"/>
    </i>
    <i>
      <x v="17"/>
    </i>
    <i>
      <x v="27"/>
    </i>
    <i>
      <x v="12"/>
    </i>
    <i>
      <x v="14"/>
    </i>
    <i>
      <x v="34"/>
    </i>
    <i>
      <x v="13"/>
    </i>
    <i>
      <x v="32"/>
    </i>
    <i>
      <x v="22"/>
    </i>
    <i>
      <x v="21"/>
    </i>
    <i>
      <x v="24"/>
    </i>
    <i>
      <x v="2"/>
    </i>
    <i>
      <x v="9"/>
    </i>
    <i>
      <x v="10"/>
    </i>
    <i>
      <x v="23"/>
    </i>
    <i>
      <x v="29"/>
    </i>
    <i>
      <x v="26"/>
    </i>
    <i>
      <x/>
    </i>
    <i>
      <x v="7"/>
    </i>
    <i>
      <x v="8"/>
    </i>
    <i>
      <x v="5"/>
    </i>
    <i>
      <x v="18"/>
    </i>
  </rowItems>
  <colItems count="1">
    <i/>
  </colItems>
  <dataFields count="1">
    <dataField name="Sum of Rural[51]"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7000000}"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3:D39" firstHeaderRow="0"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dataField="1" showAll="0"/>
    <pivotField showAll="0"/>
    <pivotField dataField="1" showAll="0"/>
    <pivotField dataField="1" showAll="0"/>
    <pivotField showAll="0"/>
    <pivotField showAll="0"/>
    <pivotField showAll="0"/>
    <pivotField showAll="0"/>
    <pivotField showAll="0"/>
    <pivotField showAll="0"/>
  </pivotFields>
  <rowFields count="1">
    <field x="1"/>
  </rowFields>
  <rowItems count="36">
    <i>
      <x v="33"/>
    </i>
    <i>
      <x v="20"/>
    </i>
    <i>
      <x v="4"/>
    </i>
    <i>
      <x v="35"/>
    </i>
    <i>
      <x v="19"/>
    </i>
    <i>
      <x v="30"/>
    </i>
    <i>
      <x v="28"/>
    </i>
    <i>
      <x v="16"/>
    </i>
    <i>
      <x v="11"/>
    </i>
    <i>
      <x v="1"/>
    </i>
    <i>
      <x v="25"/>
    </i>
    <i>
      <x v="31"/>
    </i>
    <i>
      <x v="17"/>
    </i>
    <i>
      <x v="15"/>
    </i>
    <i>
      <x v="3"/>
    </i>
    <i>
      <x v="27"/>
    </i>
    <i>
      <x v="6"/>
    </i>
    <i>
      <x v="12"/>
    </i>
    <i>
      <x v="9"/>
    </i>
    <i>
      <x v="14"/>
    </i>
    <i>
      <x v="34"/>
    </i>
    <i>
      <x v="13"/>
    </i>
    <i>
      <x v="32"/>
    </i>
    <i>
      <x v="22"/>
    </i>
    <i>
      <x v="21"/>
    </i>
    <i>
      <x v="24"/>
    </i>
    <i>
      <x v="10"/>
    </i>
    <i>
      <x v="2"/>
    </i>
    <i>
      <x v="26"/>
    </i>
    <i>
      <x v="23"/>
    </i>
    <i>
      <x v="5"/>
    </i>
    <i>
      <x v="29"/>
    </i>
    <i>
      <x/>
    </i>
    <i>
      <x v="7"/>
    </i>
    <i>
      <x v="8"/>
    </i>
    <i>
      <x v="18"/>
    </i>
  </rowItems>
  <colFields count="1">
    <field x="-2"/>
  </colFields>
  <colItems count="3">
    <i>
      <x/>
    </i>
    <i i="1">
      <x v="1"/>
    </i>
    <i i="2">
      <x v="2"/>
    </i>
  </colItems>
  <dataFields count="3">
    <dataField name="Sum of Population[50]" fld="2" baseField="0" baseItem="0"/>
    <dataField name="Sum of Male" fld="4" baseField="0" baseItem="0"/>
    <dataField name="Sum of Female"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1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B3:AC39" firstHeaderRow="1"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pivotField showAll="0"/>
  </pivotFields>
  <rowFields count="1">
    <field x="1"/>
  </rowFields>
  <rowItems count="36">
    <i>
      <x v="33"/>
    </i>
    <i>
      <x v="20"/>
    </i>
    <i>
      <x v="4"/>
    </i>
    <i>
      <x v="35"/>
    </i>
    <i>
      <x v="19"/>
    </i>
    <i>
      <x v="30"/>
    </i>
    <i>
      <x v="28"/>
    </i>
    <i>
      <x v="16"/>
    </i>
    <i>
      <x v="11"/>
    </i>
    <i>
      <x v="1"/>
    </i>
    <i>
      <x v="25"/>
    </i>
    <i>
      <x v="31"/>
    </i>
    <i>
      <x v="17"/>
    </i>
    <i>
      <x v="15"/>
    </i>
    <i>
      <x v="3"/>
    </i>
    <i>
      <x v="27"/>
    </i>
    <i>
      <x v="6"/>
    </i>
    <i>
      <x v="12"/>
    </i>
    <i>
      <x v="9"/>
    </i>
    <i>
      <x v="14"/>
    </i>
    <i>
      <x v="34"/>
    </i>
    <i>
      <x v="13"/>
    </i>
    <i>
      <x v="32"/>
    </i>
    <i>
      <x v="22"/>
    </i>
    <i>
      <x v="21"/>
    </i>
    <i>
      <x v="24"/>
    </i>
    <i>
      <x v="10"/>
    </i>
    <i>
      <x v="2"/>
    </i>
    <i>
      <x v="26"/>
    </i>
    <i>
      <x v="23"/>
    </i>
    <i>
      <x v="5"/>
    </i>
    <i>
      <x v="29"/>
    </i>
    <i>
      <x/>
    </i>
    <i>
      <x v="7"/>
    </i>
    <i>
      <x v="8"/>
    </i>
    <i>
      <x v="18"/>
    </i>
  </rowItems>
  <colItems count="1">
    <i/>
  </colItems>
  <dataFields count="1">
    <dataField name="Sum of Population[50]"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1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V3:W39" firstHeaderRow="1" firstDataRow="1" firstDataCol="1"/>
  <pivotFields count="12">
    <pivotField showAll="0"/>
    <pivotField axis="axisRow" showAll="0" sortType="descending">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dataField="1" showAll="0"/>
    <pivotField showAll="0"/>
    <pivotField showAll="0"/>
    <pivotField showAll="0"/>
    <pivotField showAll="0"/>
  </pivotFields>
  <rowFields count="1">
    <field x="1"/>
  </rowFields>
  <rowItems count="36">
    <i>
      <x v="17"/>
    </i>
    <i>
      <x v="26"/>
    </i>
    <i>
      <x v="30"/>
    </i>
    <i>
      <x v="1"/>
    </i>
    <i>
      <x v="6"/>
    </i>
    <i>
      <x v="22"/>
    </i>
    <i>
      <x v="31"/>
    </i>
    <i>
      <x v="21"/>
    </i>
    <i>
      <x v="25"/>
    </i>
    <i>
      <x v="23"/>
    </i>
    <i>
      <x v="16"/>
    </i>
    <i>
      <x v="10"/>
    </i>
    <i>
      <x v="13"/>
    </i>
    <i>
      <x v="34"/>
    </i>
    <i>
      <x v="32"/>
    </i>
    <i>
      <x v="3"/>
    </i>
    <i>
      <x v="35"/>
    </i>
    <i>
      <x v="15"/>
    </i>
    <i>
      <x v="18"/>
    </i>
    <i>
      <x v="2"/>
    </i>
    <i>
      <x v="24"/>
    </i>
    <i>
      <x v="19"/>
    </i>
    <i>
      <x v="33"/>
    </i>
    <i>
      <x v="20"/>
    </i>
    <i>
      <x v="28"/>
    </i>
    <i>
      <x v="11"/>
    </i>
    <i>
      <x v="4"/>
    </i>
    <i>
      <x v="27"/>
    </i>
    <i>
      <x v="29"/>
    </i>
    <i>
      <x v="14"/>
    </i>
    <i>
      <x v="12"/>
    </i>
    <i>
      <x/>
    </i>
    <i>
      <x v="9"/>
    </i>
    <i>
      <x v="5"/>
    </i>
    <i>
      <x v="7"/>
    </i>
    <i>
      <x v="8"/>
    </i>
  </rowItems>
  <colItems count="1">
    <i/>
  </colItems>
  <dataFields count="1">
    <dataField name="Sum of Sex ratio"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K3:L39" firstHeaderRow="1" firstDataRow="1" firstDataCol="1"/>
  <pivotFields count="12">
    <pivotField showAll="0"/>
    <pivotField axis="axisRow" showAll="0">
      <items count="37">
        <item x="32"/>
        <item x="9"/>
        <item x="27"/>
        <item x="14"/>
        <item x="2"/>
        <item x="30"/>
        <item x="16"/>
        <item x="33"/>
        <item x="34"/>
        <item x="18"/>
        <item x="26"/>
        <item x="8"/>
        <item x="17"/>
        <item x="21"/>
        <item x="19"/>
        <item x="13"/>
        <item x="7"/>
        <item x="12"/>
        <item x="35"/>
        <item x="4"/>
        <item x="1"/>
        <item x="24"/>
        <item x="23"/>
        <item x="29"/>
        <item x="25"/>
        <item x="10"/>
        <item x="28"/>
        <item x="15"/>
        <item x="6"/>
        <item x="31"/>
        <item x="5"/>
        <item x="11"/>
        <item x="22"/>
        <item x="0"/>
        <item x="20"/>
        <item x="3"/>
        <item t="default"/>
      </items>
    </pivotField>
    <pivotField showAll="0"/>
    <pivotField showAll="0"/>
    <pivotField showAll="0"/>
    <pivotField showAll="0"/>
    <pivotField showAll="0"/>
    <pivotField showAll="0"/>
    <pivotField showAll="0"/>
    <pivotField showAll="0"/>
    <pivotField dataField="1" showAll="0"/>
    <pivotField showAll="0"/>
  </pivotFields>
  <rowFields count="1">
    <field x="1"/>
  </rowFields>
  <rowItems count="3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rowItems>
  <colItems count="1">
    <i/>
  </colItems>
  <dataFields count="1">
    <dataField name="Sum of Area[52] (km2)"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097CD52-4DDA-4C61-A04D-5232E20C736C}" sourceName="[Table1].[Region]">
  <pivotTables>
    <pivotTable tabId="14" name="PivotTable4"/>
    <pivotTable tabId="14" name="PivotTable3"/>
    <pivotTable tabId="14" name="PivotTable5"/>
    <pivotTable tabId="14" name="PivotTable6"/>
    <pivotTable tabId="14" name="PivotTable7"/>
    <pivotTable tabId="14" name="PivotTable8"/>
  </pivotTables>
  <data>
    <olap pivotCacheId="1587542839">
      <levels count="2">
        <level uniqueName="[Table1].[Region].[(All)]" sourceCaption="(All)" count="0"/>
        <level uniqueName="[Table1].[Region].[Region]" sourceCaption="Region" count="5">
          <ranges>
            <range startItem="0">
              <i n="[Table1].[Region].&amp;[East]" c="East"/>
              <i n="[Table1].[Region].&amp;[North]" c="North"/>
              <i n="[Table1].[Region].&amp;[South]" c="South"/>
              <i n="[Table1].[Region].&amp;[Union Territory]" c="Union Territory"/>
              <i n="[Table1].[Region].&amp;[West]" c="West"/>
            </range>
          </ranges>
        </level>
      </levels>
      <selections count="1">
        <selection n="[Table1].[Region].[All]"/>
      </selections>
    </olap>
  </data>
  <extLst>
    <x:ext xmlns:x15="http://schemas.microsoft.com/office/spreadsheetml/2010/11/main" uri="{470722E0-AACD-4C17-9CDC-17EF765DBC7E}">
      <x15:slicerCacheHideItemsWithNoData count="1">
        <x15:slicerCacheOlapLevelName uniqueName="[Table1].[Region].[Region]"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6B0D46D-1748-4989-86CE-1358D5DEE632}" cache="Slicer_Region" caption="Region" level="1" style="custom2" rowHeight="234950"/>
  <slicer name="Region 1" xr10:uid="{5E70ADE0-70C5-409A-8BDD-23D5B1C455BA}" cache="Slicer_Region" caption="Region" level="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E1:Q38" totalsRowCount="1">
  <autoFilter ref="E1:Q37" xr:uid="{00000000-0009-0000-0100-000001000000}"/>
  <sortState ref="E2:Q37">
    <sortCondition descending="1" ref="G2"/>
  </sortState>
  <tableColumns count="13">
    <tableColumn id="1" xr3:uid="{00000000-0010-0000-0000-000001000000}" name="0"/>
    <tableColumn id="2" xr3:uid="{00000000-0010-0000-0000-000002000000}" name="State/UT"/>
    <tableColumn id="3" xr3:uid="{00000000-0010-0000-0000-000003000000}" name="Population[50]"/>
    <tableColumn id="4" xr3:uid="{00000000-0010-0000-0000-000004000000}" name="Percent (%)"/>
    <tableColumn id="5" xr3:uid="{00000000-0010-0000-0000-000005000000}" name="Male"/>
    <tableColumn id="6" xr3:uid="{00000000-0010-0000-0000-000006000000}" name="Female"/>
    <tableColumn id="7" xr3:uid="{00000000-0010-0000-0000-000007000000}" name="Difference between male and female"/>
    <tableColumn id="8" xr3:uid="{00000000-0010-0000-0000-000008000000}" name="Sex ratio"/>
    <tableColumn id="9" xr3:uid="{00000000-0010-0000-0000-000009000000}" name="Rural[51]"/>
    <tableColumn id="10" xr3:uid="{00000000-0010-0000-0000-00000A000000}" name="Urban[51]"/>
    <tableColumn id="11" xr3:uid="{00000000-0010-0000-0000-00000B000000}" name="Area[52] (km2)"/>
    <tableColumn id="12" xr3:uid="{00000000-0010-0000-0000-00000C000000}" name="Density (per km2)"/>
    <tableColumn id="13" xr3:uid="{00000000-0010-0000-0000-00000D000000}" name="Region">
      <calculatedColumnFormula>Table3[[#This Row],[Column2]]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V1:W38" totalsRowShown="0">
  <autoFilter ref="V1:W38" xr:uid="{00000000-0009-0000-0100-000003000000}"/>
  <tableColumns count="2">
    <tableColumn id="1" xr3:uid="{00000000-0010-0000-0100-000001000000}" name="Column1"/>
    <tableColumn id="2" xr3:uid="{00000000-0010-0000-0100-000002000000}" name="Column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4.xml"/><Relationship Id="rId3" Type="http://schemas.openxmlformats.org/officeDocument/2006/relationships/pivotTable" Target="../pivotTables/pivotTable9.xml"/><Relationship Id="rId7" Type="http://schemas.openxmlformats.org/officeDocument/2006/relationships/pivotTable" Target="../pivotTables/pivotTable13.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E1:W38"/>
  <sheetViews>
    <sheetView zoomScaleNormal="100" workbookViewId="0"/>
  </sheetViews>
  <sheetFormatPr defaultRowHeight="14.4" x14ac:dyDescent="0.3"/>
  <cols>
    <col min="5" max="5" width="4.6640625" bestFit="1" customWidth="1"/>
    <col min="6" max="6" width="29.33203125" bestFit="1" customWidth="1"/>
    <col min="7" max="7" width="16.6640625" bestFit="1" customWidth="1"/>
    <col min="8" max="8" width="13.77734375" bestFit="1" customWidth="1"/>
    <col min="9" max="10" width="10" bestFit="1" customWidth="1"/>
    <col min="11" max="11" width="36.77734375" bestFit="1" customWidth="1"/>
    <col min="12" max="12" width="10.109375" customWidth="1"/>
    <col min="13" max="13" width="10.5546875" customWidth="1"/>
    <col min="14" max="14" width="11.44140625" customWidth="1"/>
    <col min="15" max="15" width="15.5546875" customWidth="1"/>
    <col min="16" max="16" width="17.77734375" customWidth="1"/>
    <col min="17" max="17" width="14.88671875" customWidth="1"/>
    <col min="18" max="18" width="14.33203125" customWidth="1"/>
    <col min="22" max="22" width="32.21875" bestFit="1" customWidth="1"/>
    <col min="23" max="23" width="14.5546875" bestFit="1" customWidth="1"/>
    <col min="24" max="24" width="13.6640625" bestFit="1" customWidth="1"/>
  </cols>
  <sheetData>
    <row r="1" spans="5:23" x14ac:dyDescent="0.3">
      <c r="E1" t="s">
        <v>88</v>
      </c>
      <c r="F1" t="s">
        <v>0</v>
      </c>
      <c r="G1" t="s">
        <v>1</v>
      </c>
      <c r="H1" t="s">
        <v>2</v>
      </c>
      <c r="I1" t="s">
        <v>3</v>
      </c>
      <c r="J1" t="s">
        <v>4</v>
      </c>
      <c r="K1" t="s">
        <v>5</v>
      </c>
      <c r="L1" t="s">
        <v>6</v>
      </c>
      <c r="M1" t="s">
        <v>7</v>
      </c>
      <c r="N1" t="s">
        <v>8</v>
      </c>
      <c r="O1" t="s">
        <v>9</v>
      </c>
      <c r="P1" t="s">
        <v>10</v>
      </c>
      <c r="Q1" t="s">
        <v>57</v>
      </c>
      <c r="V1" t="s">
        <v>86</v>
      </c>
      <c r="W1" t="s">
        <v>87</v>
      </c>
    </row>
    <row r="2" spans="5:23" x14ac:dyDescent="0.3">
      <c r="E2">
        <v>1</v>
      </c>
      <c r="F2" t="s">
        <v>11</v>
      </c>
      <c r="G2">
        <v>199812341</v>
      </c>
      <c r="H2">
        <v>16.5</v>
      </c>
      <c r="I2">
        <v>104480510</v>
      </c>
      <c r="J2">
        <v>95331831</v>
      </c>
      <c r="K2">
        <v>9148679</v>
      </c>
      <c r="L2">
        <v>930</v>
      </c>
      <c r="M2">
        <v>155111022</v>
      </c>
      <c r="N2">
        <v>44470455</v>
      </c>
      <c r="O2">
        <v>240928</v>
      </c>
      <c r="P2">
        <v>828</v>
      </c>
      <c r="Q2" t="str">
        <f>Table3[[#This Row],[Column2]]</f>
        <v>Region</v>
      </c>
      <c r="V2" t="s">
        <v>55</v>
      </c>
      <c r="W2" t="s">
        <v>57</v>
      </c>
    </row>
    <row r="3" spans="5:23" x14ac:dyDescent="0.3">
      <c r="E3">
        <v>2</v>
      </c>
      <c r="F3" t="s">
        <v>12</v>
      </c>
      <c r="G3">
        <v>112374333</v>
      </c>
      <c r="H3">
        <v>9.2799999999999994</v>
      </c>
      <c r="I3">
        <v>58243056</v>
      </c>
      <c r="J3">
        <v>54131277</v>
      </c>
      <c r="K3">
        <v>4111779</v>
      </c>
      <c r="L3">
        <v>929</v>
      </c>
      <c r="M3">
        <v>61545441</v>
      </c>
      <c r="N3">
        <v>50827531</v>
      </c>
      <c r="O3">
        <v>307713</v>
      </c>
      <c r="P3">
        <v>365</v>
      </c>
      <c r="Q3" t="str">
        <f>Table3[[#This Row],[Column2]]</f>
        <v>North</v>
      </c>
      <c r="V3" t="str">
        <f t="shared" ref="V3:V38" si="0">F2</f>
        <v>Uttar Pradesh</v>
      </c>
      <c r="W3" t="s">
        <v>67</v>
      </c>
    </row>
    <row r="4" spans="5:23" x14ac:dyDescent="0.3">
      <c r="E4">
        <v>3</v>
      </c>
      <c r="F4" t="s">
        <v>13</v>
      </c>
      <c r="G4">
        <v>104099452</v>
      </c>
      <c r="H4">
        <v>8.6</v>
      </c>
      <c r="I4">
        <v>54278157</v>
      </c>
      <c r="J4">
        <v>49821295</v>
      </c>
      <c r="K4">
        <v>4456862</v>
      </c>
      <c r="L4">
        <v>918</v>
      </c>
      <c r="M4">
        <v>92075028</v>
      </c>
      <c r="N4">
        <v>11729609</v>
      </c>
      <c r="O4">
        <v>94163</v>
      </c>
      <c r="P4">
        <v>1102</v>
      </c>
      <c r="Q4" t="str">
        <f>Table3[[#This Row],[Column2]]</f>
        <v>West</v>
      </c>
      <c r="V4" t="str">
        <f t="shared" si="0"/>
        <v>Maharashtra</v>
      </c>
      <c r="W4" t="s">
        <v>68</v>
      </c>
    </row>
    <row r="5" spans="5:23" x14ac:dyDescent="0.3">
      <c r="E5">
        <v>4</v>
      </c>
      <c r="F5" t="s">
        <v>14</v>
      </c>
      <c r="G5">
        <v>91276115</v>
      </c>
      <c r="H5">
        <v>7.54</v>
      </c>
      <c r="I5">
        <v>46809027</v>
      </c>
      <c r="J5">
        <v>44467088</v>
      </c>
      <c r="K5">
        <v>2341939</v>
      </c>
      <c r="L5">
        <v>950</v>
      </c>
      <c r="M5">
        <v>62213676</v>
      </c>
      <c r="N5">
        <v>29134060</v>
      </c>
      <c r="O5">
        <v>88752</v>
      </c>
      <c r="P5">
        <v>1030</v>
      </c>
      <c r="Q5" t="str">
        <f>Table3[[#This Row],[Column2]]</f>
        <v>North</v>
      </c>
      <c r="V5" t="str">
        <f t="shared" si="0"/>
        <v>Bihar</v>
      </c>
      <c r="W5" t="s">
        <v>67</v>
      </c>
    </row>
    <row r="6" spans="5:23" x14ac:dyDescent="0.3">
      <c r="E6">
        <v>5</v>
      </c>
      <c r="F6" t="s">
        <v>15</v>
      </c>
      <c r="G6">
        <v>72626809</v>
      </c>
      <c r="H6">
        <v>6</v>
      </c>
      <c r="I6">
        <v>37612306</v>
      </c>
      <c r="J6">
        <v>35014503</v>
      </c>
      <c r="K6">
        <v>2597803</v>
      </c>
      <c r="L6">
        <v>931</v>
      </c>
      <c r="M6">
        <v>52537899</v>
      </c>
      <c r="N6">
        <v>20059666</v>
      </c>
      <c r="O6">
        <v>308245</v>
      </c>
      <c r="P6">
        <v>236</v>
      </c>
      <c r="Q6" t="str">
        <f>Table3[[#This Row],[Column2]]</f>
        <v>East</v>
      </c>
      <c r="V6" t="str">
        <f t="shared" si="0"/>
        <v>West Bengal</v>
      </c>
      <c r="W6" t="s">
        <v>69</v>
      </c>
    </row>
    <row r="7" spans="5:23" x14ac:dyDescent="0.3">
      <c r="E7">
        <v>6</v>
      </c>
      <c r="F7" t="s">
        <v>16</v>
      </c>
      <c r="G7">
        <v>72147030</v>
      </c>
      <c r="H7">
        <v>5.96</v>
      </c>
      <c r="I7">
        <v>36137975</v>
      </c>
      <c r="J7">
        <v>36009055</v>
      </c>
      <c r="K7">
        <v>128920</v>
      </c>
      <c r="L7">
        <v>996</v>
      </c>
      <c r="M7">
        <v>37189229</v>
      </c>
      <c r="N7">
        <v>34949729</v>
      </c>
      <c r="O7">
        <v>130058</v>
      </c>
      <c r="P7">
        <v>555</v>
      </c>
      <c r="Q7" t="str">
        <f>Table3[[#This Row],[Column2]]</f>
        <v>North</v>
      </c>
      <c r="V7" t="str">
        <f t="shared" si="0"/>
        <v>Madhya Pradesh</v>
      </c>
      <c r="W7" t="s">
        <v>67</v>
      </c>
    </row>
    <row r="8" spans="5:23" x14ac:dyDescent="0.3">
      <c r="E8">
        <v>7</v>
      </c>
      <c r="F8" t="s">
        <v>17</v>
      </c>
      <c r="G8">
        <v>68548437</v>
      </c>
      <c r="H8">
        <v>5.66</v>
      </c>
      <c r="I8">
        <v>35550997</v>
      </c>
      <c r="J8">
        <v>32997440</v>
      </c>
      <c r="K8">
        <v>2553557</v>
      </c>
      <c r="L8">
        <v>928</v>
      </c>
      <c r="M8">
        <v>51540236</v>
      </c>
      <c r="N8">
        <v>17080776</v>
      </c>
      <c r="O8">
        <v>342239</v>
      </c>
      <c r="P8">
        <v>201</v>
      </c>
      <c r="Q8" t="str">
        <f>Table3[[#This Row],[Column2]]</f>
        <v>South</v>
      </c>
      <c r="V8" t="str">
        <f t="shared" si="0"/>
        <v>Tamil Nadu</v>
      </c>
      <c r="W8" t="s">
        <v>70</v>
      </c>
    </row>
    <row r="9" spans="5:23" x14ac:dyDescent="0.3">
      <c r="E9">
        <v>8</v>
      </c>
      <c r="F9" t="s">
        <v>18</v>
      </c>
      <c r="G9">
        <v>61095297</v>
      </c>
      <c r="H9">
        <v>5.05</v>
      </c>
      <c r="I9">
        <v>30966657</v>
      </c>
      <c r="J9">
        <v>30128640</v>
      </c>
      <c r="K9">
        <v>838017</v>
      </c>
      <c r="L9">
        <v>973</v>
      </c>
      <c r="M9">
        <v>37552529</v>
      </c>
      <c r="N9">
        <v>23578175</v>
      </c>
      <c r="O9">
        <v>191791</v>
      </c>
      <c r="P9">
        <v>319</v>
      </c>
      <c r="Q9" t="str">
        <f>Table3[[#This Row],[Column2]]</f>
        <v>West</v>
      </c>
      <c r="V9" t="str">
        <f t="shared" si="0"/>
        <v>Rajasthan</v>
      </c>
      <c r="W9" t="s">
        <v>68</v>
      </c>
    </row>
    <row r="10" spans="5:23" x14ac:dyDescent="0.3">
      <c r="E10">
        <v>9</v>
      </c>
      <c r="F10" t="s">
        <v>19</v>
      </c>
      <c r="G10">
        <v>60439692</v>
      </c>
      <c r="H10">
        <v>4.99</v>
      </c>
      <c r="I10">
        <v>31491260</v>
      </c>
      <c r="J10">
        <v>28948432</v>
      </c>
      <c r="K10">
        <v>2542828</v>
      </c>
      <c r="L10">
        <v>919</v>
      </c>
      <c r="M10">
        <v>34670817</v>
      </c>
      <c r="N10">
        <v>25712811</v>
      </c>
      <c r="O10">
        <v>196024</v>
      </c>
      <c r="P10">
        <v>308</v>
      </c>
      <c r="Q10" t="str">
        <f>Table3[[#This Row],[Column2]]</f>
        <v>South</v>
      </c>
      <c r="V10" t="str">
        <f t="shared" si="0"/>
        <v>Karnataka</v>
      </c>
      <c r="W10" t="s">
        <v>70</v>
      </c>
    </row>
    <row r="11" spans="5:23" x14ac:dyDescent="0.3">
      <c r="E11">
        <v>10</v>
      </c>
      <c r="F11" t="s">
        <v>20</v>
      </c>
      <c r="G11">
        <v>49386799</v>
      </c>
      <c r="H11">
        <v>4.08</v>
      </c>
      <c r="I11">
        <v>24738068</v>
      </c>
      <c r="J11">
        <v>24648731</v>
      </c>
      <c r="K11">
        <v>89337</v>
      </c>
      <c r="L11">
        <v>996</v>
      </c>
      <c r="M11">
        <v>34776389</v>
      </c>
      <c r="N11">
        <v>14610410</v>
      </c>
      <c r="O11">
        <v>160205</v>
      </c>
      <c r="P11">
        <v>308</v>
      </c>
      <c r="Q11" t="str">
        <f>Table3[[#This Row],[Column2]]</f>
        <v>West</v>
      </c>
      <c r="V11" t="str">
        <f t="shared" si="0"/>
        <v>Gujarat</v>
      </c>
      <c r="W11" t="s">
        <v>68</v>
      </c>
    </row>
    <row r="12" spans="5:23" x14ac:dyDescent="0.3">
      <c r="E12">
        <v>11</v>
      </c>
      <c r="F12" t="s">
        <v>21</v>
      </c>
      <c r="G12">
        <v>41974218</v>
      </c>
      <c r="H12">
        <v>3.47</v>
      </c>
      <c r="I12">
        <v>21212136</v>
      </c>
      <c r="J12">
        <v>20762082</v>
      </c>
      <c r="K12">
        <v>450054</v>
      </c>
      <c r="L12">
        <v>979</v>
      </c>
      <c r="M12">
        <v>34951234</v>
      </c>
      <c r="N12">
        <v>6996124</v>
      </c>
      <c r="O12">
        <v>155707</v>
      </c>
      <c r="P12">
        <v>269</v>
      </c>
      <c r="Q12" t="str">
        <f>Table3[[#This Row],[Column2]]</f>
        <v>South</v>
      </c>
      <c r="V12" t="str">
        <f t="shared" si="0"/>
        <v>Andhra Pradesh</v>
      </c>
      <c r="W12" t="s">
        <v>70</v>
      </c>
    </row>
    <row r="13" spans="5:23" x14ac:dyDescent="0.3">
      <c r="E13">
        <v>12</v>
      </c>
      <c r="F13" t="s">
        <v>22</v>
      </c>
      <c r="G13">
        <v>35193978</v>
      </c>
      <c r="H13">
        <v>2.91</v>
      </c>
      <c r="I13">
        <v>17704078</v>
      </c>
      <c r="J13">
        <v>17489900</v>
      </c>
      <c r="K13">
        <v>214178</v>
      </c>
      <c r="L13">
        <v>988</v>
      </c>
      <c r="M13">
        <v>21585313</v>
      </c>
      <c r="N13">
        <v>13608665</v>
      </c>
      <c r="O13">
        <v>114840</v>
      </c>
      <c r="P13">
        <v>307</v>
      </c>
      <c r="Q13" t="str">
        <f>Table3[[#This Row],[Column2]]</f>
        <v>East</v>
      </c>
      <c r="V13" t="str">
        <f t="shared" si="0"/>
        <v>Odisha</v>
      </c>
      <c r="W13" t="s">
        <v>69</v>
      </c>
    </row>
    <row r="14" spans="5:23" x14ac:dyDescent="0.3">
      <c r="E14">
        <v>13</v>
      </c>
      <c r="F14" t="s">
        <v>23</v>
      </c>
      <c r="G14">
        <v>33406061</v>
      </c>
      <c r="H14">
        <v>2.76</v>
      </c>
      <c r="I14">
        <v>16027412</v>
      </c>
      <c r="J14">
        <v>17378649</v>
      </c>
      <c r="K14">
        <v>1351237</v>
      </c>
      <c r="L14">
        <v>1084</v>
      </c>
      <c r="M14">
        <v>17445506</v>
      </c>
      <c r="N14">
        <v>15932171</v>
      </c>
      <c r="O14">
        <v>38863</v>
      </c>
      <c r="P14">
        <v>859</v>
      </c>
      <c r="Q14" t="str">
        <f>Table3[[#This Row],[Column2]]</f>
        <v>South</v>
      </c>
      <c r="V14" t="str">
        <f t="shared" si="0"/>
        <v>Telangana</v>
      </c>
      <c r="W14" t="s">
        <v>70</v>
      </c>
    </row>
    <row r="15" spans="5:23" x14ac:dyDescent="0.3">
      <c r="E15">
        <v>14</v>
      </c>
      <c r="F15" t="s">
        <v>24</v>
      </c>
      <c r="G15">
        <v>32988134</v>
      </c>
      <c r="H15">
        <v>2.72</v>
      </c>
      <c r="I15">
        <v>16930315</v>
      </c>
      <c r="J15">
        <v>16057819</v>
      </c>
      <c r="K15">
        <v>872496</v>
      </c>
      <c r="L15">
        <v>948</v>
      </c>
      <c r="M15">
        <v>25036946</v>
      </c>
      <c r="N15">
        <v>7929292</v>
      </c>
      <c r="O15">
        <v>79714</v>
      </c>
      <c r="P15">
        <v>414</v>
      </c>
      <c r="Q15" t="str">
        <f>Table3[[#This Row],[Column2]]</f>
        <v>South</v>
      </c>
      <c r="V15" t="str">
        <f t="shared" si="0"/>
        <v>Kerala</v>
      </c>
      <c r="W15" t="s">
        <v>70</v>
      </c>
    </row>
    <row r="16" spans="5:23" x14ac:dyDescent="0.3">
      <c r="E16">
        <v>15</v>
      </c>
      <c r="F16" t="s">
        <v>25</v>
      </c>
      <c r="G16">
        <v>31205576</v>
      </c>
      <c r="H16">
        <v>2.58</v>
      </c>
      <c r="I16">
        <v>15939443</v>
      </c>
      <c r="J16">
        <v>15266133</v>
      </c>
      <c r="K16">
        <v>673310</v>
      </c>
      <c r="L16">
        <v>958</v>
      </c>
      <c r="M16">
        <v>26780526</v>
      </c>
      <c r="N16">
        <v>4388756</v>
      </c>
      <c r="O16">
        <v>78438</v>
      </c>
      <c r="P16">
        <v>397</v>
      </c>
      <c r="Q16" t="str">
        <f>Table3[[#This Row],[Column2]]</f>
        <v>North</v>
      </c>
      <c r="V16" t="str">
        <f t="shared" si="0"/>
        <v>Jharkhand</v>
      </c>
      <c r="W16" t="s">
        <v>67</v>
      </c>
    </row>
    <row r="17" spans="5:23" x14ac:dyDescent="0.3">
      <c r="E17">
        <v>16</v>
      </c>
      <c r="F17" t="s">
        <v>26</v>
      </c>
      <c r="G17">
        <v>27743338</v>
      </c>
      <c r="H17">
        <v>2.29</v>
      </c>
      <c r="I17">
        <v>14639465</v>
      </c>
      <c r="J17">
        <v>13103873</v>
      </c>
      <c r="K17">
        <v>1535592</v>
      </c>
      <c r="L17">
        <v>895</v>
      </c>
      <c r="M17">
        <v>17316800</v>
      </c>
      <c r="N17">
        <v>10387436</v>
      </c>
      <c r="O17">
        <v>50362</v>
      </c>
      <c r="P17">
        <v>550</v>
      </c>
      <c r="Q17" t="str">
        <f>Table3[[#This Row],[Column2]]</f>
        <v>East</v>
      </c>
      <c r="V17" t="str">
        <f t="shared" si="0"/>
        <v>Assam</v>
      </c>
      <c r="W17" t="s">
        <v>69</v>
      </c>
    </row>
    <row r="18" spans="5:23" x14ac:dyDescent="0.3">
      <c r="E18">
        <v>17</v>
      </c>
      <c r="F18" t="s">
        <v>27</v>
      </c>
      <c r="G18">
        <v>25545198</v>
      </c>
      <c r="H18">
        <v>2.11</v>
      </c>
      <c r="I18">
        <v>12832895</v>
      </c>
      <c r="J18">
        <v>12712303</v>
      </c>
      <c r="K18">
        <v>120592</v>
      </c>
      <c r="L18">
        <v>991</v>
      </c>
      <c r="M18">
        <v>19603658</v>
      </c>
      <c r="N18">
        <v>5936538</v>
      </c>
      <c r="O18">
        <v>135191</v>
      </c>
      <c r="P18">
        <v>189</v>
      </c>
      <c r="Q18" t="str">
        <f>Table3[[#This Row],[Column2]]</f>
        <v>North</v>
      </c>
      <c r="V18" t="str">
        <f t="shared" si="0"/>
        <v>Punjab</v>
      </c>
      <c r="W18" t="s">
        <v>67</v>
      </c>
    </row>
    <row r="19" spans="5:23" x14ac:dyDescent="0.3">
      <c r="E19">
        <v>18</v>
      </c>
      <c r="F19" t="s">
        <v>28</v>
      </c>
      <c r="G19">
        <v>25351462</v>
      </c>
      <c r="H19">
        <v>2.09</v>
      </c>
      <c r="I19">
        <v>13494734</v>
      </c>
      <c r="J19">
        <v>11856728</v>
      </c>
      <c r="K19">
        <v>1638006</v>
      </c>
      <c r="L19">
        <v>879</v>
      </c>
      <c r="M19">
        <v>16531493</v>
      </c>
      <c r="N19">
        <v>8821588</v>
      </c>
      <c r="O19">
        <v>44212</v>
      </c>
      <c r="P19">
        <v>573</v>
      </c>
      <c r="Q19" t="str">
        <f>Table3[[#This Row],[Column2]]</f>
        <v>North</v>
      </c>
      <c r="V19" t="str">
        <f t="shared" si="0"/>
        <v>Chhattisgarh</v>
      </c>
      <c r="W19" t="s">
        <v>67</v>
      </c>
    </row>
    <row r="20" spans="5:23" x14ac:dyDescent="0.3">
      <c r="E20">
        <v>19</v>
      </c>
      <c r="F20" t="s">
        <v>29</v>
      </c>
      <c r="G20">
        <v>16787941</v>
      </c>
      <c r="H20">
        <v>1.39</v>
      </c>
      <c r="I20">
        <v>8887326</v>
      </c>
      <c r="J20">
        <v>7800615</v>
      </c>
      <c r="K20">
        <v>1086711</v>
      </c>
      <c r="L20">
        <v>868</v>
      </c>
      <c r="M20">
        <v>944727</v>
      </c>
      <c r="N20">
        <v>12905780</v>
      </c>
      <c r="O20">
        <v>1484</v>
      </c>
      <c r="P20">
        <v>11297</v>
      </c>
      <c r="Q20" t="str">
        <f>Table3[[#This Row],[Column2]]</f>
        <v>North</v>
      </c>
      <c r="V20" t="str">
        <f t="shared" si="0"/>
        <v>Haryana</v>
      </c>
      <c r="W20" t="s">
        <v>67</v>
      </c>
    </row>
    <row r="21" spans="5:23" x14ac:dyDescent="0.3">
      <c r="E21">
        <v>20</v>
      </c>
      <c r="F21" t="s">
        <v>30</v>
      </c>
      <c r="G21">
        <v>12541302</v>
      </c>
      <c r="H21">
        <v>1.04</v>
      </c>
      <c r="I21">
        <v>6640662</v>
      </c>
      <c r="J21">
        <v>5900640</v>
      </c>
      <c r="K21">
        <v>740022</v>
      </c>
      <c r="L21">
        <v>889</v>
      </c>
      <c r="M21">
        <v>9134820</v>
      </c>
      <c r="N21">
        <v>3414106</v>
      </c>
      <c r="O21">
        <v>222236</v>
      </c>
      <c r="P21">
        <v>56</v>
      </c>
      <c r="Q21" t="str">
        <f>Table3[[#This Row],[Column2]]</f>
        <v>Union Territory</v>
      </c>
      <c r="V21" t="str">
        <f t="shared" si="0"/>
        <v>Delhi (UT)</v>
      </c>
      <c r="W21" t="s">
        <v>71</v>
      </c>
    </row>
    <row r="22" spans="5:23" x14ac:dyDescent="0.3">
      <c r="E22">
        <v>21</v>
      </c>
      <c r="F22" t="s">
        <v>31</v>
      </c>
      <c r="G22">
        <v>10086292</v>
      </c>
      <c r="H22">
        <v>0.83</v>
      </c>
      <c r="I22">
        <v>5137773</v>
      </c>
      <c r="J22">
        <v>4948519</v>
      </c>
      <c r="K22">
        <v>189254</v>
      </c>
      <c r="L22">
        <v>963</v>
      </c>
      <c r="M22">
        <v>7025583</v>
      </c>
      <c r="N22">
        <v>3091169</v>
      </c>
      <c r="O22">
        <v>53483</v>
      </c>
      <c r="P22">
        <v>189</v>
      </c>
      <c r="Q22" t="str">
        <f>Table3[[#This Row],[Column2]]</f>
        <v>North</v>
      </c>
      <c r="V22" t="str">
        <f t="shared" si="0"/>
        <v>Jammu and Kashmir</v>
      </c>
      <c r="W22" t="s">
        <v>67</v>
      </c>
    </row>
    <row r="23" spans="5:23" x14ac:dyDescent="0.3">
      <c r="E23">
        <v>22</v>
      </c>
      <c r="F23" t="s">
        <v>32</v>
      </c>
      <c r="G23">
        <v>6864602</v>
      </c>
      <c r="H23">
        <v>0.56999999999999995</v>
      </c>
      <c r="I23">
        <v>3481873</v>
      </c>
      <c r="J23">
        <v>3382729</v>
      </c>
      <c r="K23">
        <v>99144</v>
      </c>
      <c r="L23">
        <v>972</v>
      </c>
      <c r="M23">
        <v>6167805</v>
      </c>
      <c r="N23">
        <v>688704</v>
      </c>
      <c r="O23">
        <v>55673</v>
      </c>
      <c r="P23">
        <v>123</v>
      </c>
      <c r="Q23" t="str">
        <f>Table3[[#This Row],[Column2]]</f>
        <v>North</v>
      </c>
      <c r="V23" t="str">
        <f t="shared" si="0"/>
        <v>Uttarakhand</v>
      </c>
      <c r="W23" t="s">
        <v>67</v>
      </c>
    </row>
    <row r="24" spans="5:23" x14ac:dyDescent="0.3">
      <c r="E24">
        <v>23</v>
      </c>
      <c r="F24" t="s">
        <v>33</v>
      </c>
      <c r="G24">
        <v>3673917</v>
      </c>
      <c r="H24">
        <v>0.3</v>
      </c>
      <c r="I24">
        <v>1874376</v>
      </c>
      <c r="J24">
        <v>1799541</v>
      </c>
      <c r="K24">
        <v>74835</v>
      </c>
      <c r="L24">
        <v>960</v>
      </c>
      <c r="M24">
        <v>2710051</v>
      </c>
      <c r="N24">
        <v>960981</v>
      </c>
      <c r="O24">
        <v>10486</v>
      </c>
      <c r="P24">
        <v>350</v>
      </c>
      <c r="Q24" t="str">
        <f>Table3[[#This Row],[Column2]]</f>
        <v>North</v>
      </c>
      <c r="V24" t="str">
        <f t="shared" si="0"/>
        <v>Himachal Pradesh</v>
      </c>
      <c r="W24" t="s">
        <v>67</v>
      </c>
    </row>
    <row r="25" spans="5:23" x14ac:dyDescent="0.3">
      <c r="E25">
        <v>24</v>
      </c>
      <c r="F25" t="s">
        <v>34</v>
      </c>
      <c r="G25">
        <v>2966889</v>
      </c>
      <c r="H25">
        <v>0.25</v>
      </c>
      <c r="I25">
        <v>1491832</v>
      </c>
      <c r="J25">
        <v>1475057</v>
      </c>
      <c r="K25">
        <v>16775</v>
      </c>
      <c r="L25">
        <v>989</v>
      </c>
      <c r="M25">
        <v>2368971</v>
      </c>
      <c r="N25">
        <v>595036</v>
      </c>
      <c r="O25">
        <v>22429</v>
      </c>
      <c r="P25">
        <v>132</v>
      </c>
      <c r="Q25" t="str">
        <f>Table3[[#This Row],[Column2]]</f>
        <v>East</v>
      </c>
      <c r="V25" t="str">
        <f t="shared" si="0"/>
        <v>Tripura</v>
      </c>
      <c r="W25" t="s">
        <v>69</v>
      </c>
    </row>
    <row r="26" spans="5:23" x14ac:dyDescent="0.3">
      <c r="E26">
        <v>25</v>
      </c>
      <c r="F26" t="s">
        <v>35</v>
      </c>
      <c r="G26">
        <v>2855794</v>
      </c>
      <c r="H26">
        <v>0.24</v>
      </c>
      <c r="I26">
        <v>1438687</v>
      </c>
      <c r="J26">
        <v>1417107</v>
      </c>
      <c r="K26">
        <v>21580</v>
      </c>
      <c r="L26">
        <v>985</v>
      </c>
      <c r="M26">
        <v>1899624</v>
      </c>
      <c r="N26">
        <v>822132</v>
      </c>
      <c r="O26">
        <v>22327</v>
      </c>
      <c r="P26">
        <v>128</v>
      </c>
      <c r="Q26" t="str">
        <f>Table3[[#This Row],[Column2]]</f>
        <v>East</v>
      </c>
      <c r="V26" t="str">
        <f t="shared" si="0"/>
        <v>Meghalaya</v>
      </c>
      <c r="W26" t="s">
        <v>69</v>
      </c>
    </row>
    <row r="27" spans="5:23" x14ac:dyDescent="0.3">
      <c r="E27">
        <v>26</v>
      </c>
      <c r="F27" t="s">
        <v>36</v>
      </c>
      <c r="G27">
        <v>1978502</v>
      </c>
      <c r="H27">
        <v>0.16</v>
      </c>
      <c r="I27">
        <v>1024649</v>
      </c>
      <c r="J27">
        <v>953853</v>
      </c>
      <c r="K27">
        <v>70796</v>
      </c>
      <c r="L27">
        <v>931</v>
      </c>
      <c r="M27">
        <v>1406861</v>
      </c>
      <c r="N27">
        <v>573741</v>
      </c>
      <c r="O27">
        <v>16579</v>
      </c>
      <c r="P27">
        <v>119</v>
      </c>
      <c r="Q27" t="str">
        <f>Table3[[#This Row],[Column2]]</f>
        <v>East</v>
      </c>
      <c r="V27" t="str">
        <f t="shared" si="0"/>
        <v>Manipur</v>
      </c>
      <c r="W27" t="s">
        <v>69</v>
      </c>
    </row>
    <row r="28" spans="5:23" x14ac:dyDescent="0.3">
      <c r="E28">
        <v>27</v>
      </c>
      <c r="F28" t="s">
        <v>37</v>
      </c>
      <c r="G28">
        <v>1458545</v>
      </c>
      <c r="H28">
        <v>0.12</v>
      </c>
      <c r="I28">
        <v>739140</v>
      </c>
      <c r="J28">
        <v>719405</v>
      </c>
      <c r="K28">
        <v>19735</v>
      </c>
      <c r="L28">
        <v>973</v>
      </c>
      <c r="M28">
        <v>551414</v>
      </c>
      <c r="N28">
        <v>906309</v>
      </c>
      <c r="O28">
        <v>3702</v>
      </c>
      <c r="P28">
        <v>394</v>
      </c>
      <c r="Q28" t="str">
        <f>Table3[[#This Row],[Column2]]</f>
        <v>East</v>
      </c>
      <c r="V28" t="str">
        <f t="shared" si="0"/>
        <v>Nagaland</v>
      </c>
      <c r="W28" t="s">
        <v>69</v>
      </c>
    </row>
    <row r="29" spans="5:23" x14ac:dyDescent="0.3">
      <c r="E29">
        <v>28</v>
      </c>
      <c r="F29" t="s">
        <v>38</v>
      </c>
      <c r="G29">
        <v>1383727</v>
      </c>
      <c r="H29">
        <v>0.11</v>
      </c>
      <c r="I29">
        <v>713912</v>
      </c>
      <c r="J29">
        <v>669815</v>
      </c>
      <c r="K29">
        <v>44097</v>
      </c>
      <c r="L29">
        <v>938</v>
      </c>
      <c r="M29">
        <v>1069165</v>
      </c>
      <c r="N29">
        <v>313446</v>
      </c>
      <c r="O29">
        <v>83743</v>
      </c>
      <c r="P29">
        <v>17</v>
      </c>
      <c r="Q29" t="str">
        <f>Table3[[#This Row],[Column2]]</f>
        <v>West</v>
      </c>
      <c r="V29" t="str">
        <f t="shared" si="0"/>
        <v>Goa</v>
      </c>
      <c r="W29" t="s">
        <v>68</v>
      </c>
    </row>
    <row r="30" spans="5:23" x14ac:dyDescent="0.3">
      <c r="E30">
        <v>29</v>
      </c>
      <c r="F30" t="s">
        <v>39</v>
      </c>
      <c r="G30">
        <v>1247953</v>
      </c>
      <c r="H30">
        <v>0.1</v>
      </c>
      <c r="I30">
        <v>612511</v>
      </c>
      <c r="J30">
        <v>635442</v>
      </c>
      <c r="K30">
        <v>22931</v>
      </c>
      <c r="L30">
        <v>1037</v>
      </c>
      <c r="M30">
        <v>394341</v>
      </c>
      <c r="N30">
        <v>850123</v>
      </c>
      <c r="O30">
        <v>479</v>
      </c>
      <c r="P30">
        <v>2598</v>
      </c>
      <c r="Q30" t="str">
        <f>Table3[[#This Row],[Column2]]</f>
        <v>East</v>
      </c>
      <c r="V30" t="str">
        <f t="shared" si="0"/>
        <v>Arunachal Pradesh</v>
      </c>
      <c r="W30" t="s">
        <v>69</v>
      </c>
    </row>
    <row r="31" spans="5:23" x14ac:dyDescent="0.3">
      <c r="E31">
        <v>30</v>
      </c>
      <c r="F31" t="s">
        <v>40</v>
      </c>
      <c r="G31">
        <v>1097206</v>
      </c>
      <c r="H31">
        <v>0.09</v>
      </c>
      <c r="I31">
        <v>555339</v>
      </c>
      <c r="J31">
        <v>541867</v>
      </c>
      <c r="K31">
        <v>13472</v>
      </c>
      <c r="L31">
        <v>976</v>
      </c>
      <c r="M31">
        <v>529037</v>
      </c>
      <c r="N31">
        <v>561997</v>
      </c>
      <c r="O31">
        <v>21081</v>
      </c>
      <c r="P31">
        <v>52</v>
      </c>
      <c r="Q31" t="str">
        <f>Table3[[#This Row],[Column2]]</f>
        <v>Union Territory</v>
      </c>
      <c r="V31" t="str">
        <f t="shared" si="0"/>
        <v>Puducherry (UT)</v>
      </c>
      <c r="W31" t="s">
        <v>71</v>
      </c>
    </row>
    <row r="32" spans="5:23" x14ac:dyDescent="0.3">
      <c r="E32">
        <v>31</v>
      </c>
      <c r="F32" t="s">
        <v>41</v>
      </c>
      <c r="G32">
        <v>1055450</v>
      </c>
      <c r="H32">
        <v>0.09</v>
      </c>
      <c r="I32">
        <v>580663</v>
      </c>
      <c r="J32">
        <v>474787</v>
      </c>
      <c r="K32">
        <v>105876</v>
      </c>
      <c r="L32">
        <v>818</v>
      </c>
      <c r="M32">
        <v>29004</v>
      </c>
      <c r="N32">
        <v>1025682</v>
      </c>
      <c r="O32">
        <v>114</v>
      </c>
      <c r="P32">
        <v>9252</v>
      </c>
      <c r="Q32" t="str">
        <f>Table3[[#This Row],[Column2]]</f>
        <v>East</v>
      </c>
      <c r="V32" t="str">
        <f t="shared" si="0"/>
        <v>Mizoram</v>
      </c>
      <c r="W32" t="s">
        <v>69</v>
      </c>
    </row>
    <row r="33" spans="5:23" x14ac:dyDescent="0.3">
      <c r="E33">
        <v>32</v>
      </c>
      <c r="F33" t="s">
        <v>42</v>
      </c>
      <c r="G33">
        <v>610577</v>
      </c>
      <c r="H33">
        <v>0.05</v>
      </c>
      <c r="I33">
        <v>323070</v>
      </c>
      <c r="J33">
        <v>287507</v>
      </c>
      <c r="K33">
        <v>35563</v>
      </c>
      <c r="L33">
        <v>890</v>
      </c>
      <c r="M33">
        <v>455962</v>
      </c>
      <c r="N33">
        <v>151726</v>
      </c>
      <c r="O33">
        <v>7096</v>
      </c>
      <c r="P33">
        <v>86</v>
      </c>
      <c r="Q33" t="str">
        <f>Table3[[#This Row],[Column2]]</f>
        <v>Union Territory</v>
      </c>
      <c r="V33" t="str">
        <f t="shared" si="0"/>
        <v>Chandigarh (UT)</v>
      </c>
      <c r="W33" t="s">
        <v>71</v>
      </c>
    </row>
    <row r="34" spans="5:23" x14ac:dyDescent="0.3">
      <c r="E34">
        <v>33</v>
      </c>
      <c r="F34" t="s">
        <v>43</v>
      </c>
      <c r="G34">
        <v>380581</v>
      </c>
      <c r="H34">
        <v>0.03</v>
      </c>
      <c r="I34">
        <v>202871</v>
      </c>
      <c r="J34">
        <v>177710</v>
      </c>
      <c r="K34">
        <v>25161</v>
      </c>
      <c r="L34">
        <v>876</v>
      </c>
      <c r="M34">
        <v>244411</v>
      </c>
      <c r="N34">
        <v>135533</v>
      </c>
      <c r="O34">
        <v>8249</v>
      </c>
      <c r="P34">
        <v>46</v>
      </c>
      <c r="Q34" t="str">
        <f>Table3[[#This Row],[Column2]]</f>
        <v>East</v>
      </c>
      <c r="V34" t="str">
        <f t="shared" si="0"/>
        <v>Sikkim</v>
      </c>
      <c r="W34" t="s">
        <v>69</v>
      </c>
    </row>
    <row r="35" spans="5:23" x14ac:dyDescent="0.3">
      <c r="E35">
        <v>34</v>
      </c>
      <c r="F35" t="s">
        <v>44</v>
      </c>
      <c r="G35">
        <v>343709</v>
      </c>
      <c r="H35">
        <v>0.03</v>
      </c>
      <c r="I35">
        <v>193760</v>
      </c>
      <c r="J35">
        <v>149949</v>
      </c>
      <c r="K35">
        <v>43811</v>
      </c>
      <c r="L35">
        <v>774</v>
      </c>
      <c r="M35">
        <v>183024</v>
      </c>
      <c r="N35">
        <v>159829</v>
      </c>
      <c r="O35">
        <v>491</v>
      </c>
      <c r="P35">
        <v>698</v>
      </c>
      <c r="Q35" t="str">
        <f>Table3[[#This Row],[Column2]]</f>
        <v>Union Territory</v>
      </c>
      <c r="V35" t="str">
        <f t="shared" si="0"/>
        <v>Andaman and Nicobar Islands (UT)</v>
      </c>
      <c r="W35" t="s">
        <v>71</v>
      </c>
    </row>
    <row r="36" spans="5:23" x14ac:dyDescent="0.3">
      <c r="E36">
        <v>35</v>
      </c>
      <c r="F36" t="s">
        <v>45</v>
      </c>
      <c r="G36">
        <v>243247</v>
      </c>
      <c r="H36">
        <v>0.02</v>
      </c>
      <c r="I36">
        <v>150301</v>
      </c>
      <c r="J36">
        <v>92946</v>
      </c>
      <c r="K36">
        <v>57355</v>
      </c>
      <c r="L36">
        <v>618</v>
      </c>
      <c r="M36">
        <v>60331</v>
      </c>
      <c r="N36">
        <v>182580</v>
      </c>
      <c r="O36">
        <v>112</v>
      </c>
      <c r="P36">
        <v>2169</v>
      </c>
      <c r="Q36" t="str">
        <f>Table3[[#This Row],[Column2]]</f>
        <v>Union Territory</v>
      </c>
      <c r="V36" t="str">
        <f t="shared" si="0"/>
        <v>Dadra and Nagar Haveli (UT)</v>
      </c>
      <c r="W36" t="s">
        <v>71</v>
      </c>
    </row>
    <row r="37" spans="5:23" x14ac:dyDescent="0.3">
      <c r="E37">
        <v>36</v>
      </c>
      <c r="F37" t="s">
        <v>46</v>
      </c>
      <c r="G37">
        <v>64473</v>
      </c>
      <c r="H37">
        <v>0.01</v>
      </c>
      <c r="I37">
        <v>33123</v>
      </c>
      <c r="J37">
        <v>31350</v>
      </c>
      <c r="K37">
        <v>1773</v>
      </c>
      <c r="L37">
        <v>946</v>
      </c>
      <c r="M37">
        <v>14121</v>
      </c>
      <c r="N37">
        <v>50308</v>
      </c>
      <c r="O37">
        <v>32</v>
      </c>
      <c r="P37">
        <v>2013</v>
      </c>
      <c r="Q37" t="str">
        <f>Table3[[#This Row],[Column2]]</f>
        <v>Union Territory</v>
      </c>
      <c r="V37" t="str">
        <f t="shared" si="0"/>
        <v>Daman and Diu (UT)</v>
      </c>
      <c r="W37" t="s">
        <v>71</v>
      </c>
    </row>
    <row r="38" spans="5:23" x14ac:dyDescent="0.3">
      <c r="V38" t="str">
        <f t="shared" si="0"/>
        <v>Lakshadweep (UT)</v>
      </c>
      <c r="W38" t="s">
        <v>71</v>
      </c>
    </row>
  </sheetData>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925CB-1845-4693-9732-512E80E2BED9}">
  <sheetPr codeName="Sheet1"/>
  <dimension ref="A3:AI114"/>
  <sheetViews>
    <sheetView zoomScale="80" zoomScaleNormal="80" workbookViewId="0"/>
  </sheetViews>
  <sheetFormatPr defaultRowHeight="14.4" x14ac:dyDescent="0.3"/>
  <cols>
    <col min="1" max="1" width="34.44140625" bestFit="1" customWidth="1"/>
    <col min="2" max="2" width="11.77734375" bestFit="1" customWidth="1"/>
    <col min="3" max="3" width="13.88671875" bestFit="1" customWidth="1"/>
    <col min="4" max="4" width="17.44140625" bestFit="1" customWidth="1"/>
    <col min="5" max="5" width="31" bestFit="1" customWidth="1"/>
    <col min="6" max="6" width="15.109375" bestFit="1" customWidth="1"/>
    <col min="7" max="7" width="18" bestFit="1" customWidth="1"/>
    <col min="8" max="8" width="34.44140625" bestFit="1" customWidth="1"/>
    <col min="9" max="9" width="15" bestFit="1" customWidth="1"/>
    <col min="10" max="10" width="21.5546875" bestFit="1" customWidth="1"/>
    <col min="11" max="11" width="16.88671875" bestFit="1" customWidth="1"/>
    <col min="12" max="12" width="13.88671875" bestFit="1" customWidth="1"/>
    <col min="13" max="14" width="10.33203125" bestFit="1" customWidth="1"/>
    <col min="15" max="15" width="14.33203125" bestFit="1" customWidth="1"/>
    <col min="16" max="16" width="9" bestFit="1" customWidth="1"/>
    <col min="17" max="17" width="34.44140625" bestFit="1" customWidth="1"/>
    <col min="18" max="18" width="11.77734375" bestFit="1" customWidth="1"/>
    <col min="19" max="19" width="13.88671875" bestFit="1" customWidth="1"/>
    <col min="20" max="20" width="10.77734375" bestFit="1" customWidth="1"/>
    <col min="21" max="21" width="17.21875" bestFit="1" customWidth="1"/>
    <col min="22" max="22" width="11.88671875" bestFit="1" customWidth="1"/>
    <col min="23" max="23" width="11.44140625" bestFit="1" customWidth="1"/>
    <col min="24" max="24" width="11.88671875" bestFit="1" customWidth="1"/>
    <col min="25" max="25" width="10.77734375" bestFit="1" customWidth="1"/>
    <col min="26" max="26" width="31" bestFit="1" customWidth="1"/>
    <col min="27" max="27" width="20.44140625" bestFit="1" customWidth="1"/>
    <col min="28" max="28" width="13.33203125" bestFit="1" customWidth="1"/>
    <col min="29" max="30" width="10.77734375" bestFit="1" customWidth="1"/>
    <col min="31" max="31" width="34.44140625" bestFit="1" customWidth="1"/>
    <col min="32" max="32" width="40.5546875" bestFit="1" customWidth="1"/>
    <col min="33" max="33" width="14.109375" bestFit="1" customWidth="1"/>
    <col min="34" max="34" width="34.44140625" bestFit="1" customWidth="1"/>
    <col min="35" max="35" width="25.21875" bestFit="1" customWidth="1"/>
    <col min="36" max="36" width="20.44140625" bestFit="1" customWidth="1"/>
    <col min="37" max="37" width="16.44140625" bestFit="1" customWidth="1"/>
    <col min="38" max="38" width="19.5546875" bestFit="1" customWidth="1"/>
    <col min="39" max="39" width="11.88671875" bestFit="1" customWidth="1"/>
    <col min="40" max="40" width="7.5546875" bestFit="1" customWidth="1"/>
    <col min="41" max="41" width="14.109375" bestFit="1" customWidth="1"/>
    <col min="42" max="42" width="20.44140625" bestFit="1" customWidth="1"/>
    <col min="43" max="43" width="8.5546875" bestFit="1" customWidth="1"/>
    <col min="44" max="44" width="10" bestFit="1" customWidth="1"/>
    <col min="45" max="46" width="8.5546875" bestFit="1" customWidth="1"/>
    <col min="47" max="47" width="14.109375" bestFit="1" customWidth="1"/>
    <col min="48" max="48" width="20.44140625" bestFit="1" customWidth="1"/>
    <col min="49" max="49" width="8.5546875" bestFit="1" customWidth="1"/>
    <col min="50" max="50" width="11.88671875" bestFit="1" customWidth="1"/>
    <col min="51" max="51" width="9.6640625" bestFit="1" customWidth="1"/>
    <col min="52" max="52" width="34.44140625" bestFit="1" customWidth="1"/>
    <col min="53" max="53" width="11.77734375" bestFit="1" customWidth="1"/>
    <col min="54" max="54" width="13.88671875" bestFit="1" customWidth="1"/>
    <col min="55" max="55" width="17.21875" bestFit="1" customWidth="1"/>
    <col min="56" max="57" width="9" bestFit="1" customWidth="1"/>
    <col min="58" max="58" width="15" bestFit="1" customWidth="1"/>
    <col min="59" max="59" width="11.77734375" bestFit="1" customWidth="1"/>
    <col min="60" max="60" width="25.5546875" bestFit="1" customWidth="1"/>
    <col min="61" max="61" width="18.33203125" bestFit="1" customWidth="1"/>
    <col min="62" max="62" width="9.6640625" bestFit="1" customWidth="1"/>
    <col min="63" max="63" width="7" bestFit="1" customWidth="1"/>
    <col min="64" max="65" width="9" bestFit="1" customWidth="1"/>
    <col min="66" max="66" width="16.33203125" bestFit="1" customWidth="1"/>
    <col min="67" max="67" width="18.33203125" bestFit="1" customWidth="1"/>
    <col min="68" max="68" width="9.77734375" bestFit="1" customWidth="1"/>
    <col min="69" max="69" width="9.5546875" bestFit="1" customWidth="1"/>
    <col min="70" max="70" width="9" bestFit="1" customWidth="1"/>
    <col min="71" max="71" width="17.109375" bestFit="1" customWidth="1"/>
    <col min="72" max="72" width="15.44140625" bestFit="1" customWidth="1"/>
    <col min="73" max="73" width="11.77734375" bestFit="1" customWidth="1"/>
    <col min="74" max="74" width="8.33203125" bestFit="1" customWidth="1"/>
    <col min="75" max="75" width="10.44140625" bestFit="1" customWidth="1"/>
    <col min="76" max="76" width="8.5546875" bestFit="1" customWidth="1"/>
    <col min="77" max="78" width="9" bestFit="1" customWidth="1"/>
    <col min="79" max="79" width="15.109375" bestFit="1" customWidth="1"/>
    <col min="80" max="80" width="9" bestFit="1" customWidth="1"/>
    <col min="81" max="81" width="9.33203125" bestFit="1" customWidth="1"/>
    <col min="82" max="82" width="7" bestFit="1" customWidth="1"/>
    <col min="83" max="83" width="10.6640625" bestFit="1" customWidth="1"/>
    <col min="84" max="84" width="9.6640625" bestFit="1" customWidth="1"/>
    <col min="85" max="85" width="8" bestFit="1" customWidth="1"/>
    <col min="86" max="86" width="12.88671875" bestFit="1" customWidth="1"/>
    <col min="87" max="87" width="11.6640625" bestFit="1" customWidth="1"/>
    <col min="88" max="88" width="11.77734375" bestFit="1" customWidth="1"/>
    <col min="89" max="89" width="31.109375" bestFit="1" customWidth="1"/>
    <col min="90" max="90" width="14.6640625" bestFit="1" customWidth="1"/>
    <col min="91" max="91" width="17.21875" bestFit="1" customWidth="1"/>
    <col min="92" max="93" width="9" bestFit="1" customWidth="1"/>
    <col min="94" max="94" width="15" bestFit="1" customWidth="1"/>
    <col min="95" max="95" width="11.77734375" bestFit="1" customWidth="1"/>
    <col min="96" max="96" width="25.5546875" bestFit="1" customWidth="1"/>
    <col min="97" max="97" width="18.33203125" bestFit="1" customWidth="1"/>
    <col min="98" max="98" width="9.6640625" bestFit="1" customWidth="1"/>
    <col min="99" max="99" width="7" bestFit="1" customWidth="1"/>
    <col min="100" max="101" width="9" bestFit="1" customWidth="1"/>
    <col min="102" max="102" width="16.33203125" bestFit="1" customWidth="1"/>
    <col min="103" max="103" width="18.33203125" bestFit="1" customWidth="1"/>
    <col min="104" max="104" width="9.77734375" bestFit="1" customWidth="1"/>
    <col min="105" max="105" width="9.5546875" bestFit="1" customWidth="1"/>
    <col min="106" max="106" width="9" bestFit="1" customWidth="1"/>
    <col min="107" max="107" width="17.109375" bestFit="1" customWidth="1"/>
    <col min="108" max="108" width="15.44140625" bestFit="1" customWidth="1"/>
    <col min="109" max="109" width="11.77734375" bestFit="1" customWidth="1"/>
    <col min="110" max="110" width="8.33203125" bestFit="1" customWidth="1"/>
    <col min="111" max="111" width="10.44140625" bestFit="1" customWidth="1"/>
    <col min="112" max="112" width="8.5546875" bestFit="1" customWidth="1"/>
    <col min="113" max="114" width="9" bestFit="1" customWidth="1"/>
    <col min="115" max="115" width="15.109375" bestFit="1" customWidth="1"/>
    <col min="116" max="116" width="9" bestFit="1" customWidth="1"/>
    <col min="117" max="117" width="9.33203125" bestFit="1" customWidth="1"/>
    <col min="118" max="118" width="7" bestFit="1" customWidth="1"/>
    <col min="119" max="119" width="10.6640625" bestFit="1" customWidth="1"/>
    <col min="120" max="120" width="9.6640625" bestFit="1" customWidth="1"/>
    <col min="121" max="121" width="8" bestFit="1" customWidth="1"/>
    <col min="122" max="122" width="12.88671875" bestFit="1" customWidth="1"/>
    <col min="123" max="123" width="11.6640625" bestFit="1" customWidth="1"/>
    <col min="124" max="124" width="11.77734375" bestFit="1" customWidth="1"/>
  </cols>
  <sheetData>
    <row r="3" spans="2:35" x14ac:dyDescent="0.3">
      <c r="C3" t="s">
        <v>89</v>
      </c>
      <c r="I3" t="s">
        <v>90</v>
      </c>
      <c r="S3" t="s">
        <v>91</v>
      </c>
      <c r="AA3" t="s">
        <v>92</v>
      </c>
      <c r="AF3" t="s">
        <v>93</v>
      </c>
    </row>
    <row r="4" spans="2:35" x14ac:dyDescent="0.3">
      <c r="B4" s="1" t="s">
        <v>48</v>
      </c>
      <c r="C4" t="s">
        <v>47</v>
      </c>
      <c r="D4" t="s">
        <v>57</v>
      </c>
      <c r="E4" t="s">
        <v>55</v>
      </c>
      <c r="F4" t="s">
        <v>56</v>
      </c>
      <c r="H4" s="1" t="s">
        <v>74</v>
      </c>
      <c r="I4" t="s">
        <v>52</v>
      </c>
      <c r="J4" t="s">
        <v>72</v>
      </c>
      <c r="K4" t="s">
        <v>55</v>
      </c>
      <c r="L4" t="s">
        <v>61</v>
      </c>
      <c r="Q4" s="1" t="s">
        <v>74</v>
      </c>
      <c r="R4" t="s">
        <v>49</v>
      </c>
      <c r="S4" t="s">
        <v>50</v>
      </c>
      <c r="T4" t="s">
        <v>57</v>
      </c>
      <c r="U4" t="s">
        <v>55</v>
      </c>
      <c r="V4" t="s">
        <v>3</v>
      </c>
      <c r="W4" t="s">
        <v>4</v>
      </c>
      <c r="Z4" s="1" t="s">
        <v>48</v>
      </c>
      <c r="AA4" t="s">
        <v>47</v>
      </c>
      <c r="AB4" t="s">
        <v>55</v>
      </c>
      <c r="AC4" t="s">
        <v>57</v>
      </c>
      <c r="AE4" s="1" t="s">
        <v>48</v>
      </c>
      <c r="AF4" t="s">
        <v>51</v>
      </c>
      <c r="AG4" t="s">
        <v>57</v>
      </c>
      <c r="AH4" t="s">
        <v>55</v>
      </c>
      <c r="AI4" t="s">
        <v>77</v>
      </c>
    </row>
    <row r="5" spans="2:35" x14ac:dyDescent="0.3">
      <c r="B5" s="2" t="s">
        <v>69</v>
      </c>
      <c r="C5" s="3"/>
      <c r="D5" t="str">
        <f>B5</f>
        <v>East</v>
      </c>
      <c r="H5" s="2" t="s">
        <v>69</v>
      </c>
      <c r="I5" s="3"/>
      <c r="J5" t="str">
        <f>H5</f>
        <v>East</v>
      </c>
      <c r="K5" t="str">
        <f>H6</f>
        <v>Arunachal Pradesh</v>
      </c>
      <c r="L5">
        <f>I6</f>
        <v>938</v>
      </c>
      <c r="Q5" s="2" t="s">
        <v>69</v>
      </c>
      <c r="R5" s="3"/>
      <c r="S5" s="3"/>
      <c r="T5" t="str">
        <f>Q5</f>
        <v>East</v>
      </c>
      <c r="U5" t="str">
        <f>Q6</f>
        <v>West Bengal</v>
      </c>
      <c r="V5">
        <f t="shared" ref="V5:W5" si="0">R6</f>
        <v>46809027</v>
      </c>
      <c r="W5">
        <f t="shared" si="0"/>
        <v>44467088</v>
      </c>
      <c r="Z5" s="2" t="s">
        <v>11</v>
      </c>
      <c r="AA5" s="3">
        <v>199812341</v>
      </c>
      <c r="AB5" t="str">
        <f>Z5</f>
        <v>Uttar Pradesh</v>
      </c>
      <c r="AC5">
        <f>AA5</f>
        <v>199812341</v>
      </c>
      <c r="AE5" s="2" t="s">
        <v>69</v>
      </c>
      <c r="AF5" s="3"/>
      <c r="AG5" t="str">
        <f>AE5</f>
        <v>East</v>
      </c>
      <c r="AH5" t="str">
        <f>AE6</f>
        <v>West Bengal</v>
      </c>
      <c r="AI5">
        <f>AF6</f>
        <v>2341939</v>
      </c>
    </row>
    <row r="6" spans="2:35" x14ac:dyDescent="0.3">
      <c r="B6" s="4" t="s">
        <v>14</v>
      </c>
      <c r="C6" s="3">
        <v>91276115</v>
      </c>
      <c r="E6" t="str">
        <f t="shared" ref="E6:E17" si="1">B6</f>
        <v>West Bengal</v>
      </c>
      <c r="F6">
        <f t="shared" ref="F6:F17" si="2">C6</f>
        <v>91276115</v>
      </c>
      <c r="H6" s="4" t="s">
        <v>38</v>
      </c>
      <c r="I6" s="3">
        <v>938</v>
      </c>
      <c r="K6" t="str">
        <f t="shared" ref="K6:K44" si="3">H7</f>
        <v>Assam</v>
      </c>
      <c r="L6">
        <f t="shared" ref="L6:L44" si="4">I7</f>
        <v>958</v>
      </c>
      <c r="Q6" s="4" t="s">
        <v>14</v>
      </c>
      <c r="R6" s="3">
        <v>46809027</v>
      </c>
      <c r="S6" s="3">
        <v>44467088</v>
      </c>
      <c r="U6" t="str">
        <f t="shared" ref="U6:U17" si="5">Q7</f>
        <v>Odisha</v>
      </c>
      <c r="V6">
        <f t="shared" ref="V6:V18" si="6">R7</f>
        <v>21212136</v>
      </c>
      <c r="W6">
        <f t="shared" ref="W6:W18" si="7">S7</f>
        <v>20762082</v>
      </c>
      <c r="Z6" s="2" t="s">
        <v>12</v>
      </c>
      <c r="AA6" s="3">
        <v>112374333</v>
      </c>
      <c r="AB6" t="str">
        <f t="shared" ref="AB6:AB40" si="8">Z6</f>
        <v>Maharashtra</v>
      </c>
      <c r="AC6">
        <f t="shared" ref="AC6:AC40" si="9">AA6</f>
        <v>112374333</v>
      </c>
      <c r="AE6" s="4" t="s">
        <v>14</v>
      </c>
      <c r="AF6" s="3">
        <v>2341939</v>
      </c>
      <c r="AH6" t="str">
        <f t="shared" ref="AH6:AH44" si="10">AE7</f>
        <v>Haryana</v>
      </c>
      <c r="AI6">
        <f t="shared" ref="AI6:AI44" si="11">AF7</f>
        <v>1638006</v>
      </c>
    </row>
    <row r="7" spans="2:35" x14ac:dyDescent="0.3">
      <c r="B7" s="4" t="s">
        <v>21</v>
      </c>
      <c r="C7" s="3">
        <v>41974218</v>
      </c>
      <c r="E7" t="str">
        <f t="shared" si="1"/>
        <v>Odisha</v>
      </c>
      <c r="F7">
        <f t="shared" si="2"/>
        <v>41974218</v>
      </c>
      <c r="H7" s="4" t="s">
        <v>25</v>
      </c>
      <c r="I7" s="3">
        <v>958</v>
      </c>
      <c r="K7" t="str">
        <f t="shared" si="3"/>
        <v>Haryana</v>
      </c>
      <c r="L7">
        <f t="shared" si="4"/>
        <v>879</v>
      </c>
      <c r="Q7" s="4" t="s">
        <v>21</v>
      </c>
      <c r="R7" s="3">
        <v>21212136</v>
      </c>
      <c r="S7" s="3">
        <v>20762082</v>
      </c>
      <c r="U7" t="str">
        <f t="shared" si="5"/>
        <v>Jharkhand</v>
      </c>
      <c r="V7">
        <f t="shared" si="6"/>
        <v>16930315</v>
      </c>
      <c r="W7">
        <f t="shared" si="7"/>
        <v>16057819</v>
      </c>
      <c r="Z7" s="2" t="s">
        <v>13</v>
      </c>
      <c r="AA7" s="3">
        <v>104099452</v>
      </c>
      <c r="AB7" t="str">
        <f t="shared" si="8"/>
        <v>Bihar</v>
      </c>
      <c r="AC7">
        <f t="shared" si="9"/>
        <v>104099452</v>
      </c>
      <c r="AE7" s="4" t="s">
        <v>28</v>
      </c>
      <c r="AF7" s="3">
        <v>1638006</v>
      </c>
      <c r="AH7" t="str">
        <f t="shared" si="10"/>
        <v>Jharkhand</v>
      </c>
      <c r="AI7">
        <f t="shared" si="11"/>
        <v>872496</v>
      </c>
    </row>
    <row r="8" spans="2:35" x14ac:dyDescent="0.3">
      <c r="B8" s="4" t="s">
        <v>24</v>
      </c>
      <c r="C8" s="3">
        <v>32988134</v>
      </c>
      <c r="E8" t="str">
        <f t="shared" si="1"/>
        <v>Jharkhand</v>
      </c>
      <c r="F8">
        <f t="shared" si="2"/>
        <v>32988134</v>
      </c>
      <c r="H8" s="4" t="s">
        <v>28</v>
      </c>
      <c r="I8" s="3">
        <v>879</v>
      </c>
      <c r="K8" t="str">
        <f t="shared" si="3"/>
        <v>Jharkhand</v>
      </c>
      <c r="L8">
        <f t="shared" si="4"/>
        <v>948</v>
      </c>
      <c r="Q8" s="4" t="s">
        <v>24</v>
      </c>
      <c r="R8" s="3">
        <v>16930315</v>
      </c>
      <c r="S8" s="3">
        <v>16057819</v>
      </c>
      <c r="U8" t="str">
        <f t="shared" si="5"/>
        <v>Assam</v>
      </c>
      <c r="V8">
        <f t="shared" si="6"/>
        <v>15939443</v>
      </c>
      <c r="W8">
        <f t="shared" si="7"/>
        <v>15266133</v>
      </c>
      <c r="Z8" s="2" t="s">
        <v>14</v>
      </c>
      <c r="AA8" s="3">
        <v>91276115</v>
      </c>
      <c r="AB8" t="str">
        <f t="shared" si="8"/>
        <v>West Bengal</v>
      </c>
      <c r="AC8">
        <f t="shared" si="9"/>
        <v>91276115</v>
      </c>
      <c r="AE8" s="4" t="s">
        <v>24</v>
      </c>
      <c r="AF8" s="3">
        <v>872496</v>
      </c>
      <c r="AH8" t="str">
        <f t="shared" si="10"/>
        <v>Assam</v>
      </c>
      <c r="AI8">
        <f t="shared" si="11"/>
        <v>673310</v>
      </c>
    </row>
    <row r="9" spans="2:35" x14ac:dyDescent="0.3">
      <c r="B9" s="4" t="s">
        <v>25</v>
      </c>
      <c r="C9" s="3">
        <v>31205576</v>
      </c>
      <c r="E9" t="str">
        <f t="shared" si="1"/>
        <v>Assam</v>
      </c>
      <c r="F9">
        <f t="shared" si="2"/>
        <v>31205576</v>
      </c>
      <c r="H9" s="4" t="s">
        <v>24</v>
      </c>
      <c r="I9" s="3">
        <v>948</v>
      </c>
      <c r="K9" t="str">
        <f t="shared" si="3"/>
        <v>Manipur</v>
      </c>
      <c r="L9">
        <f t="shared" si="4"/>
        <v>985</v>
      </c>
      <c r="Q9" s="4" t="s">
        <v>25</v>
      </c>
      <c r="R9" s="3">
        <v>15939443</v>
      </c>
      <c r="S9" s="3">
        <v>15266133</v>
      </c>
      <c r="U9" t="str">
        <f t="shared" si="5"/>
        <v>Haryana</v>
      </c>
      <c r="V9">
        <f t="shared" si="6"/>
        <v>13494734</v>
      </c>
      <c r="W9">
        <f t="shared" si="7"/>
        <v>11856728</v>
      </c>
      <c r="Z9" s="2" t="s">
        <v>15</v>
      </c>
      <c r="AA9" s="3">
        <v>72626809</v>
      </c>
      <c r="AB9" t="str">
        <f t="shared" si="8"/>
        <v>Madhya Pradesh</v>
      </c>
      <c r="AC9">
        <f t="shared" si="9"/>
        <v>72626809</v>
      </c>
      <c r="AE9" s="4" t="s">
        <v>25</v>
      </c>
      <c r="AF9" s="3">
        <v>673310</v>
      </c>
      <c r="AH9" t="str">
        <f t="shared" si="10"/>
        <v>Odisha</v>
      </c>
      <c r="AI9">
        <f t="shared" si="11"/>
        <v>450054</v>
      </c>
    </row>
    <row r="10" spans="2:35" x14ac:dyDescent="0.3">
      <c r="B10" s="4" t="s">
        <v>28</v>
      </c>
      <c r="C10" s="3">
        <v>25351462</v>
      </c>
      <c r="E10" t="str">
        <f t="shared" si="1"/>
        <v>Haryana</v>
      </c>
      <c r="F10">
        <f t="shared" si="2"/>
        <v>25351462</v>
      </c>
      <c r="H10" s="4" t="s">
        <v>35</v>
      </c>
      <c r="I10" s="3">
        <v>985</v>
      </c>
      <c r="K10" t="str">
        <f t="shared" si="3"/>
        <v>Meghalaya</v>
      </c>
      <c r="L10">
        <f t="shared" si="4"/>
        <v>989</v>
      </c>
      <c r="Q10" s="4" t="s">
        <v>28</v>
      </c>
      <c r="R10" s="3">
        <v>13494734</v>
      </c>
      <c r="S10" s="3">
        <v>11856728</v>
      </c>
      <c r="U10" t="str">
        <f t="shared" si="5"/>
        <v>Tripura</v>
      </c>
      <c r="V10">
        <f t="shared" si="6"/>
        <v>1874376</v>
      </c>
      <c r="W10">
        <f t="shared" si="7"/>
        <v>1799541</v>
      </c>
      <c r="Z10" s="2" t="s">
        <v>16</v>
      </c>
      <c r="AA10" s="3">
        <v>72147030</v>
      </c>
      <c r="AB10" t="str">
        <f t="shared" si="8"/>
        <v>Tamil Nadu</v>
      </c>
      <c r="AC10">
        <f t="shared" si="9"/>
        <v>72147030</v>
      </c>
      <c r="AE10" s="4" t="s">
        <v>21</v>
      </c>
      <c r="AF10" s="3">
        <v>450054</v>
      </c>
      <c r="AH10" t="str">
        <f t="shared" si="10"/>
        <v>Tripura</v>
      </c>
      <c r="AI10">
        <f t="shared" si="11"/>
        <v>74835</v>
      </c>
    </row>
    <row r="11" spans="2:35" x14ac:dyDescent="0.3">
      <c r="B11" s="4" t="s">
        <v>33</v>
      </c>
      <c r="C11" s="3">
        <v>3673917</v>
      </c>
      <c r="E11" t="str">
        <f t="shared" si="1"/>
        <v>Tripura</v>
      </c>
      <c r="F11">
        <f t="shared" si="2"/>
        <v>3673917</v>
      </c>
      <c r="H11" s="4" t="s">
        <v>34</v>
      </c>
      <c r="I11" s="3">
        <v>989</v>
      </c>
      <c r="K11" t="str">
        <f t="shared" si="3"/>
        <v>Mizoram</v>
      </c>
      <c r="L11">
        <f t="shared" si="4"/>
        <v>976</v>
      </c>
      <c r="Q11" s="4" t="s">
        <v>33</v>
      </c>
      <c r="R11" s="3">
        <v>1874376</v>
      </c>
      <c r="S11" s="3">
        <v>1799541</v>
      </c>
      <c r="U11" t="str">
        <f t="shared" si="5"/>
        <v>Meghalaya</v>
      </c>
      <c r="V11">
        <f t="shared" si="6"/>
        <v>1491832</v>
      </c>
      <c r="W11">
        <f t="shared" si="7"/>
        <v>1475057</v>
      </c>
      <c r="Z11" s="2" t="s">
        <v>17</v>
      </c>
      <c r="AA11" s="3">
        <v>68548437</v>
      </c>
      <c r="AB11" t="str">
        <f t="shared" si="8"/>
        <v>Rajasthan</v>
      </c>
      <c r="AC11">
        <f t="shared" si="9"/>
        <v>68548437</v>
      </c>
      <c r="AE11" s="4" t="s">
        <v>33</v>
      </c>
      <c r="AF11" s="3">
        <v>74835</v>
      </c>
      <c r="AH11" t="str">
        <f t="shared" si="10"/>
        <v>Nagaland</v>
      </c>
      <c r="AI11">
        <f t="shared" si="11"/>
        <v>70796</v>
      </c>
    </row>
    <row r="12" spans="2:35" x14ac:dyDescent="0.3">
      <c r="B12" s="4" t="s">
        <v>34</v>
      </c>
      <c r="C12" s="3">
        <v>2966889</v>
      </c>
      <c r="E12" t="str">
        <f t="shared" si="1"/>
        <v>Meghalaya</v>
      </c>
      <c r="F12">
        <f t="shared" si="2"/>
        <v>2966889</v>
      </c>
      <c r="H12" s="4" t="s">
        <v>40</v>
      </c>
      <c r="I12" s="3">
        <v>976</v>
      </c>
      <c r="K12" t="str">
        <f t="shared" si="3"/>
        <v>Nagaland</v>
      </c>
      <c r="L12">
        <f t="shared" si="4"/>
        <v>931</v>
      </c>
      <c r="Q12" s="4" t="s">
        <v>34</v>
      </c>
      <c r="R12" s="3">
        <v>1491832</v>
      </c>
      <c r="S12" s="3">
        <v>1475057</v>
      </c>
      <c r="U12" t="str">
        <f t="shared" si="5"/>
        <v>Manipur</v>
      </c>
      <c r="V12">
        <f t="shared" si="6"/>
        <v>1438687</v>
      </c>
      <c r="W12">
        <f t="shared" si="7"/>
        <v>1417107</v>
      </c>
      <c r="Z12" s="2" t="s">
        <v>18</v>
      </c>
      <c r="AA12" s="3">
        <v>61095297</v>
      </c>
      <c r="AB12" t="str">
        <f t="shared" si="8"/>
        <v>Karnataka</v>
      </c>
      <c r="AC12">
        <f t="shared" si="9"/>
        <v>61095297</v>
      </c>
      <c r="AE12" s="4" t="s">
        <v>36</v>
      </c>
      <c r="AF12" s="3">
        <v>70796</v>
      </c>
      <c r="AH12" t="str">
        <f t="shared" si="10"/>
        <v>Arunachal Pradesh</v>
      </c>
      <c r="AI12">
        <f t="shared" si="11"/>
        <v>44097</v>
      </c>
    </row>
    <row r="13" spans="2:35" x14ac:dyDescent="0.3">
      <c r="B13" s="4" t="s">
        <v>35</v>
      </c>
      <c r="C13" s="3">
        <v>2855794</v>
      </c>
      <c r="E13" t="str">
        <f t="shared" si="1"/>
        <v>Manipur</v>
      </c>
      <c r="F13">
        <f t="shared" si="2"/>
        <v>2855794</v>
      </c>
      <c r="H13" s="4" t="s">
        <v>36</v>
      </c>
      <c r="I13" s="3">
        <v>931</v>
      </c>
      <c r="K13" t="str">
        <f t="shared" si="3"/>
        <v>Odisha</v>
      </c>
      <c r="L13">
        <f t="shared" si="4"/>
        <v>979</v>
      </c>
      <c r="Q13" s="4" t="s">
        <v>35</v>
      </c>
      <c r="R13" s="3">
        <v>1438687</v>
      </c>
      <c r="S13" s="3">
        <v>1417107</v>
      </c>
      <c r="U13" t="str">
        <f t="shared" si="5"/>
        <v>Nagaland</v>
      </c>
      <c r="V13">
        <f t="shared" si="6"/>
        <v>1024649</v>
      </c>
      <c r="W13">
        <f t="shared" si="7"/>
        <v>953853</v>
      </c>
      <c r="Z13" s="2" t="s">
        <v>19</v>
      </c>
      <c r="AA13" s="3">
        <v>60439692</v>
      </c>
      <c r="AB13" t="str">
        <f t="shared" si="8"/>
        <v>Gujarat</v>
      </c>
      <c r="AC13">
        <f t="shared" si="9"/>
        <v>60439692</v>
      </c>
      <c r="AE13" s="4" t="s">
        <v>38</v>
      </c>
      <c r="AF13" s="3">
        <v>44097</v>
      </c>
      <c r="AH13" t="str">
        <f t="shared" si="10"/>
        <v>Sikkim</v>
      </c>
      <c r="AI13">
        <f t="shared" si="11"/>
        <v>35563</v>
      </c>
    </row>
    <row r="14" spans="2:35" x14ac:dyDescent="0.3">
      <c r="B14" s="4" t="s">
        <v>36</v>
      </c>
      <c r="C14" s="3">
        <v>1978502</v>
      </c>
      <c r="E14" t="str">
        <f t="shared" si="1"/>
        <v>Nagaland</v>
      </c>
      <c r="F14">
        <f t="shared" si="2"/>
        <v>1978502</v>
      </c>
      <c r="H14" s="4" t="s">
        <v>21</v>
      </c>
      <c r="I14" s="3">
        <v>979</v>
      </c>
      <c r="K14" t="str">
        <f t="shared" si="3"/>
        <v>Sikkim</v>
      </c>
      <c r="L14">
        <f t="shared" si="4"/>
        <v>890</v>
      </c>
      <c r="Q14" s="4" t="s">
        <v>36</v>
      </c>
      <c r="R14" s="3">
        <v>1024649</v>
      </c>
      <c r="S14" s="3">
        <v>953853</v>
      </c>
      <c r="U14" t="str">
        <f t="shared" si="5"/>
        <v>Arunachal Pradesh</v>
      </c>
      <c r="V14">
        <f t="shared" si="6"/>
        <v>713912</v>
      </c>
      <c r="W14">
        <f t="shared" si="7"/>
        <v>669815</v>
      </c>
      <c r="Z14" s="2" t="s">
        <v>20</v>
      </c>
      <c r="AA14" s="3">
        <v>49386799</v>
      </c>
      <c r="AB14" t="str">
        <f t="shared" si="8"/>
        <v>Andhra Pradesh</v>
      </c>
      <c r="AC14">
        <f t="shared" si="9"/>
        <v>49386799</v>
      </c>
      <c r="AE14" s="4" t="s">
        <v>42</v>
      </c>
      <c r="AF14" s="3">
        <v>35563</v>
      </c>
      <c r="AH14" t="str">
        <f t="shared" si="10"/>
        <v>Manipur</v>
      </c>
      <c r="AI14">
        <f t="shared" si="11"/>
        <v>21580</v>
      </c>
    </row>
    <row r="15" spans="2:35" x14ac:dyDescent="0.3">
      <c r="B15" s="4" t="s">
        <v>38</v>
      </c>
      <c r="C15" s="3">
        <v>1383727</v>
      </c>
      <c r="E15" t="str">
        <f t="shared" si="1"/>
        <v>Arunachal Pradesh</v>
      </c>
      <c r="F15">
        <f t="shared" si="2"/>
        <v>1383727</v>
      </c>
      <c r="H15" s="4" t="s">
        <v>42</v>
      </c>
      <c r="I15" s="3">
        <v>890</v>
      </c>
      <c r="K15" t="str">
        <f t="shared" si="3"/>
        <v>Tripura</v>
      </c>
      <c r="L15">
        <f t="shared" si="4"/>
        <v>960</v>
      </c>
      <c r="Q15" s="4" t="s">
        <v>38</v>
      </c>
      <c r="R15" s="3">
        <v>713912</v>
      </c>
      <c r="S15" s="3">
        <v>669815</v>
      </c>
      <c r="U15" t="str">
        <f t="shared" si="5"/>
        <v>Mizoram</v>
      </c>
      <c r="V15">
        <f t="shared" si="6"/>
        <v>555339</v>
      </c>
      <c r="W15">
        <f t="shared" si="7"/>
        <v>541867</v>
      </c>
      <c r="Z15" s="2" t="s">
        <v>21</v>
      </c>
      <c r="AA15" s="3">
        <v>41974218</v>
      </c>
      <c r="AB15" t="str">
        <f t="shared" si="8"/>
        <v>Odisha</v>
      </c>
      <c r="AC15">
        <f t="shared" si="9"/>
        <v>41974218</v>
      </c>
      <c r="AE15" s="4" t="s">
        <v>35</v>
      </c>
      <c r="AF15" s="3">
        <v>21580</v>
      </c>
      <c r="AH15" t="str">
        <f t="shared" si="10"/>
        <v>Meghalaya</v>
      </c>
      <c r="AI15">
        <f t="shared" si="11"/>
        <v>16775</v>
      </c>
    </row>
    <row r="16" spans="2:35" x14ac:dyDescent="0.3">
      <c r="B16" s="4" t="s">
        <v>40</v>
      </c>
      <c r="C16" s="3">
        <v>1097206</v>
      </c>
      <c r="E16" t="str">
        <f t="shared" si="1"/>
        <v>Mizoram</v>
      </c>
      <c r="F16">
        <f t="shared" si="2"/>
        <v>1097206</v>
      </c>
      <c r="H16" s="4" t="s">
        <v>33</v>
      </c>
      <c r="I16" s="3">
        <v>960</v>
      </c>
      <c r="K16" t="str">
        <f t="shared" si="3"/>
        <v>West Bengal</v>
      </c>
      <c r="L16">
        <f t="shared" si="4"/>
        <v>950</v>
      </c>
      <c r="Q16" s="4" t="s">
        <v>40</v>
      </c>
      <c r="R16" s="3">
        <v>555339</v>
      </c>
      <c r="S16" s="3">
        <v>541867</v>
      </c>
      <c r="U16" t="str">
        <f t="shared" si="5"/>
        <v>Sikkim</v>
      </c>
      <c r="V16">
        <f t="shared" si="6"/>
        <v>323070</v>
      </c>
      <c r="W16">
        <f t="shared" si="7"/>
        <v>287507</v>
      </c>
      <c r="Z16" s="2" t="s">
        <v>22</v>
      </c>
      <c r="AA16" s="3">
        <v>35193978</v>
      </c>
      <c r="AB16" t="str">
        <f t="shared" si="8"/>
        <v>Telangana</v>
      </c>
      <c r="AC16">
        <f t="shared" si="9"/>
        <v>35193978</v>
      </c>
      <c r="AE16" s="4" t="s">
        <v>34</v>
      </c>
      <c r="AF16" s="3">
        <v>16775</v>
      </c>
      <c r="AH16" t="str">
        <f t="shared" si="10"/>
        <v>Mizoram</v>
      </c>
      <c r="AI16">
        <f t="shared" si="11"/>
        <v>13472</v>
      </c>
    </row>
    <row r="17" spans="2:35" x14ac:dyDescent="0.3">
      <c r="B17" s="4" t="s">
        <v>42</v>
      </c>
      <c r="C17" s="3">
        <v>610577</v>
      </c>
      <c r="E17" t="str">
        <f t="shared" si="1"/>
        <v>Sikkim</v>
      </c>
      <c r="F17">
        <f t="shared" si="2"/>
        <v>610577</v>
      </c>
      <c r="H17" s="4" t="s">
        <v>14</v>
      </c>
      <c r="I17" s="3">
        <v>950</v>
      </c>
      <c r="Q17" s="4" t="s">
        <v>42</v>
      </c>
      <c r="R17" s="3">
        <v>323070</v>
      </c>
      <c r="S17" s="3">
        <v>287507</v>
      </c>
      <c r="U17" t="str">
        <f t="shared" si="5"/>
        <v>North</v>
      </c>
      <c r="Z17" s="2" t="s">
        <v>23</v>
      </c>
      <c r="AA17" s="3">
        <v>33406061</v>
      </c>
      <c r="AB17" t="str">
        <f t="shared" si="8"/>
        <v>Kerala</v>
      </c>
      <c r="AC17">
        <f t="shared" si="9"/>
        <v>33406061</v>
      </c>
      <c r="AE17" s="4" t="s">
        <v>40</v>
      </c>
      <c r="AF17" s="3">
        <v>13472</v>
      </c>
    </row>
    <row r="18" spans="2:35" x14ac:dyDescent="0.3">
      <c r="B18" s="2" t="s">
        <v>67</v>
      </c>
      <c r="C18" s="3"/>
      <c r="D18" t="str">
        <f>B18</f>
        <v>North</v>
      </c>
      <c r="H18" s="2" t="s">
        <v>67</v>
      </c>
      <c r="I18" s="3"/>
      <c r="J18" t="str">
        <f>H18</f>
        <v>North</v>
      </c>
      <c r="K18" t="str">
        <f t="shared" si="3"/>
        <v>Bihar</v>
      </c>
      <c r="L18">
        <f t="shared" si="4"/>
        <v>918</v>
      </c>
      <c r="Q18" s="2" t="s">
        <v>67</v>
      </c>
      <c r="R18" s="3"/>
      <c r="S18" s="3"/>
      <c r="T18" t="str">
        <f>Q18</f>
        <v>North</v>
      </c>
      <c r="U18" t="str">
        <f>Q19</f>
        <v>Uttar Pradesh</v>
      </c>
      <c r="V18">
        <f t="shared" si="6"/>
        <v>104480510</v>
      </c>
      <c r="W18">
        <f t="shared" si="7"/>
        <v>95331831</v>
      </c>
      <c r="Z18" s="2" t="s">
        <v>24</v>
      </c>
      <c r="AA18" s="3">
        <v>32988134</v>
      </c>
      <c r="AB18" t="str">
        <f t="shared" si="8"/>
        <v>Jharkhand</v>
      </c>
      <c r="AC18">
        <f t="shared" si="9"/>
        <v>32988134</v>
      </c>
      <c r="AE18" s="2" t="s">
        <v>67</v>
      </c>
      <c r="AF18" s="3"/>
      <c r="AG18" t="str">
        <f>AE18</f>
        <v>North</v>
      </c>
      <c r="AH18" t="str">
        <f t="shared" si="10"/>
        <v>Uttar Pradesh</v>
      </c>
      <c r="AI18">
        <f t="shared" si="11"/>
        <v>9148679</v>
      </c>
    </row>
    <row r="19" spans="2:35" x14ac:dyDescent="0.3">
      <c r="B19" s="4" t="s">
        <v>11</v>
      </c>
      <c r="C19" s="3">
        <v>199812341</v>
      </c>
      <c r="E19" t="str">
        <f t="shared" ref="E19:F24" si="12">B19</f>
        <v>Uttar Pradesh</v>
      </c>
      <c r="F19">
        <f t="shared" si="12"/>
        <v>199812341</v>
      </c>
      <c r="H19" s="4" t="s">
        <v>13</v>
      </c>
      <c r="I19" s="3">
        <v>918</v>
      </c>
      <c r="K19" t="str">
        <f t="shared" si="3"/>
        <v>Himachal Pradesh</v>
      </c>
      <c r="L19">
        <f t="shared" si="4"/>
        <v>972</v>
      </c>
      <c r="Q19" s="4" t="s">
        <v>11</v>
      </c>
      <c r="R19" s="3">
        <v>104480510</v>
      </c>
      <c r="S19" s="3">
        <v>95331831</v>
      </c>
      <c r="U19" t="str">
        <f t="shared" ref="U19:U25" si="13">Q20</f>
        <v>Bihar</v>
      </c>
      <c r="V19">
        <f t="shared" ref="V19:V25" si="14">R20</f>
        <v>54278157</v>
      </c>
      <c r="W19">
        <f t="shared" ref="W19:W25" si="15">S20</f>
        <v>49821295</v>
      </c>
      <c r="Z19" s="2" t="s">
        <v>25</v>
      </c>
      <c r="AA19" s="3">
        <v>31205576</v>
      </c>
      <c r="AB19" t="str">
        <f t="shared" si="8"/>
        <v>Assam</v>
      </c>
      <c r="AC19">
        <f t="shared" si="9"/>
        <v>31205576</v>
      </c>
      <c r="AE19" s="4" t="s">
        <v>11</v>
      </c>
      <c r="AF19" s="3">
        <v>9148679</v>
      </c>
      <c r="AH19" t="str">
        <f t="shared" si="10"/>
        <v>Bihar</v>
      </c>
      <c r="AI19">
        <f t="shared" si="11"/>
        <v>4456862</v>
      </c>
    </row>
    <row r="20" spans="2:35" x14ac:dyDescent="0.3">
      <c r="B20" s="4" t="s">
        <v>13</v>
      </c>
      <c r="C20" s="3">
        <v>104099452</v>
      </c>
      <c r="E20" t="str">
        <f t="shared" si="12"/>
        <v>Bihar</v>
      </c>
      <c r="F20">
        <f t="shared" si="12"/>
        <v>104099452</v>
      </c>
      <c r="H20" s="4" t="s">
        <v>32</v>
      </c>
      <c r="I20" s="3">
        <v>972</v>
      </c>
      <c r="K20" t="str">
        <f t="shared" si="3"/>
        <v>Jammu and Kashmir</v>
      </c>
      <c r="L20">
        <f t="shared" si="4"/>
        <v>889</v>
      </c>
      <c r="Q20" s="4" t="s">
        <v>13</v>
      </c>
      <c r="R20" s="3">
        <v>54278157</v>
      </c>
      <c r="S20" s="3">
        <v>49821295</v>
      </c>
      <c r="U20" t="str">
        <f t="shared" si="13"/>
        <v>Madhya Pradesh</v>
      </c>
      <c r="V20">
        <f t="shared" si="14"/>
        <v>37612306</v>
      </c>
      <c r="W20">
        <f t="shared" si="15"/>
        <v>35014503</v>
      </c>
      <c r="Z20" s="2" t="s">
        <v>26</v>
      </c>
      <c r="AA20" s="3">
        <v>27743338</v>
      </c>
      <c r="AB20" t="str">
        <f t="shared" si="8"/>
        <v>Punjab</v>
      </c>
      <c r="AC20">
        <f t="shared" si="9"/>
        <v>27743338</v>
      </c>
      <c r="AE20" s="4" t="s">
        <v>13</v>
      </c>
      <c r="AF20" s="3">
        <v>4456862</v>
      </c>
      <c r="AH20" t="str">
        <f t="shared" si="10"/>
        <v>Madhya Pradesh</v>
      </c>
      <c r="AI20">
        <f t="shared" si="11"/>
        <v>2597803</v>
      </c>
    </row>
    <row r="21" spans="2:35" x14ac:dyDescent="0.3">
      <c r="B21" s="4" t="s">
        <v>15</v>
      </c>
      <c r="C21" s="3">
        <v>72626809</v>
      </c>
      <c r="E21" t="str">
        <f t="shared" si="12"/>
        <v>Madhya Pradesh</v>
      </c>
      <c r="F21">
        <f t="shared" si="12"/>
        <v>72626809</v>
      </c>
      <c r="H21" s="4" t="s">
        <v>30</v>
      </c>
      <c r="I21" s="3">
        <v>889</v>
      </c>
      <c r="K21" t="str">
        <f t="shared" si="3"/>
        <v>Madhya Pradesh</v>
      </c>
      <c r="L21">
        <f t="shared" si="4"/>
        <v>931</v>
      </c>
      <c r="Q21" s="4" t="s">
        <v>15</v>
      </c>
      <c r="R21" s="3">
        <v>37612306</v>
      </c>
      <c r="S21" s="3">
        <v>35014503</v>
      </c>
      <c r="U21" t="str">
        <f t="shared" si="13"/>
        <v>Jammu and Kashmir</v>
      </c>
      <c r="V21">
        <f t="shared" si="14"/>
        <v>6640662</v>
      </c>
      <c r="W21">
        <f t="shared" si="15"/>
        <v>5900640</v>
      </c>
      <c r="Z21" s="2" t="s">
        <v>27</v>
      </c>
      <c r="AA21" s="3">
        <v>25545198</v>
      </c>
      <c r="AB21" t="str">
        <f t="shared" si="8"/>
        <v>Chhattisgarh</v>
      </c>
      <c r="AC21">
        <f t="shared" si="9"/>
        <v>25545198</v>
      </c>
      <c r="AE21" s="4" t="s">
        <v>15</v>
      </c>
      <c r="AF21" s="3">
        <v>2597803</v>
      </c>
      <c r="AH21" t="str">
        <f t="shared" si="10"/>
        <v>Jammu and Kashmir</v>
      </c>
      <c r="AI21">
        <f t="shared" si="11"/>
        <v>740022</v>
      </c>
    </row>
    <row r="22" spans="2:35" x14ac:dyDescent="0.3">
      <c r="B22" s="4" t="s">
        <v>30</v>
      </c>
      <c r="C22" s="3">
        <v>12541302</v>
      </c>
      <c r="E22" t="str">
        <f t="shared" si="12"/>
        <v>Jammu and Kashmir</v>
      </c>
      <c r="F22">
        <f t="shared" si="12"/>
        <v>12541302</v>
      </c>
      <c r="H22" s="4" t="s">
        <v>15</v>
      </c>
      <c r="I22" s="3">
        <v>931</v>
      </c>
      <c r="K22" t="str">
        <f t="shared" si="3"/>
        <v>Uttar Pradesh</v>
      </c>
      <c r="L22">
        <f t="shared" si="4"/>
        <v>930</v>
      </c>
      <c r="Q22" s="4" t="s">
        <v>30</v>
      </c>
      <c r="R22" s="3">
        <v>6640662</v>
      </c>
      <c r="S22" s="3">
        <v>5900640</v>
      </c>
      <c r="U22" t="str">
        <f t="shared" si="13"/>
        <v>Uttarakhand</v>
      </c>
      <c r="V22">
        <f t="shared" si="14"/>
        <v>5137773</v>
      </c>
      <c r="W22">
        <f t="shared" si="15"/>
        <v>4948519</v>
      </c>
      <c r="Z22" s="2" t="s">
        <v>28</v>
      </c>
      <c r="AA22" s="3">
        <v>25351462</v>
      </c>
      <c r="AB22" t="str">
        <f t="shared" si="8"/>
        <v>Haryana</v>
      </c>
      <c r="AC22">
        <f t="shared" si="9"/>
        <v>25351462</v>
      </c>
      <c r="AE22" s="4" t="s">
        <v>30</v>
      </c>
      <c r="AF22" s="3">
        <v>740022</v>
      </c>
      <c r="AH22" t="str">
        <f t="shared" si="10"/>
        <v>Uttarakhand</v>
      </c>
      <c r="AI22">
        <f t="shared" si="11"/>
        <v>189254</v>
      </c>
    </row>
    <row r="23" spans="2:35" x14ac:dyDescent="0.3">
      <c r="B23" s="4" t="s">
        <v>31</v>
      </c>
      <c r="C23" s="3">
        <v>10086292</v>
      </c>
      <c r="E23" t="str">
        <f t="shared" si="12"/>
        <v>Uttarakhand</v>
      </c>
      <c r="F23">
        <f t="shared" si="12"/>
        <v>10086292</v>
      </c>
      <c r="H23" s="4" t="s">
        <v>11</v>
      </c>
      <c r="I23" s="3">
        <v>930</v>
      </c>
      <c r="K23" t="str">
        <f t="shared" si="3"/>
        <v>Uttarakhand</v>
      </c>
      <c r="L23">
        <f t="shared" si="4"/>
        <v>963</v>
      </c>
      <c r="Q23" s="4" t="s">
        <v>31</v>
      </c>
      <c r="R23" s="3">
        <v>5137773</v>
      </c>
      <c r="S23" s="3">
        <v>4948519</v>
      </c>
      <c r="U23" t="str">
        <f t="shared" si="13"/>
        <v>Himachal Pradesh</v>
      </c>
      <c r="V23">
        <f t="shared" si="14"/>
        <v>3481873</v>
      </c>
      <c r="W23">
        <f t="shared" si="15"/>
        <v>3382729</v>
      </c>
      <c r="Z23" s="2" t="s">
        <v>29</v>
      </c>
      <c r="AA23" s="3">
        <v>16787941</v>
      </c>
      <c r="AB23" t="str">
        <f t="shared" si="8"/>
        <v>Delhi (UT)</v>
      </c>
      <c r="AC23">
        <f t="shared" si="9"/>
        <v>16787941</v>
      </c>
      <c r="AE23" s="4" t="s">
        <v>31</v>
      </c>
      <c r="AF23" s="3">
        <v>189254</v>
      </c>
      <c r="AH23" t="str">
        <f t="shared" si="10"/>
        <v>Himachal Pradesh</v>
      </c>
      <c r="AI23">
        <f t="shared" si="11"/>
        <v>99144</v>
      </c>
    </row>
    <row r="24" spans="2:35" x14ac:dyDescent="0.3">
      <c r="B24" s="4" t="s">
        <v>32</v>
      </c>
      <c r="C24" s="3">
        <v>6864602</v>
      </c>
      <c r="E24" t="str">
        <f t="shared" si="12"/>
        <v>Himachal Pradesh</v>
      </c>
      <c r="F24">
        <f t="shared" si="12"/>
        <v>6864602</v>
      </c>
      <c r="H24" s="4" t="s">
        <v>31</v>
      </c>
      <c r="I24" s="3">
        <v>963</v>
      </c>
      <c r="Q24" s="4" t="s">
        <v>32</v>
      </c>
      <c r="R24" s="3">
        <v>3481873</v>
      </c>
      <c r="S24" s="3">
        <v>3382729</v>
      </c>
      <c r="U24" t="str">
        <f t="shared" si="13"/>
        <v>South</v>
      </c>
      <c r="Z24" s="2" t="s">
        <v>30</v>
      </c>
      <c r="AA24" s="3">
        <v>12541302</v>
      </c>
      <c r="AB24" t="str">
        <f t="shared" si="8"/>
        <v>Jammu and Kashmir</v>
      </c>
      <c r="AC24">
        <f t="shared" si="9"/>
        <v>12541302</v>
      </c>
      <c r="AE24" s="4" t="s">
        <v>32</v>
      </c>
      <c r="AF24" s="3">
        <v>99144</v>
      </c>
    </row>
    <row r="25" spans="2:35" x14ac:dyDescent="0.3">
      <c r="B25" s="2" t="s">
        <v>70</v>
      </c>
      <c r="C25" s="3"/>
      <c r="D25" t="str">
        <f>B25</f>
        <v>South</v>
      </c>
      <c r="H25" s="2" t="s">
        <v>70</v>
      </c>
      <c r="I25" s="3"/>
      <c r="J25" t="str">
        <f>H25</f>
        <v>South</v>
      </c>
      <c r="K25" t="str">
        <f t="shared" si="3"/>
        <v>Andhra Pradesh</v>
      </c>
      <c r="L25">
        <f t="shared" si="4"/>
        <v>996</v>
      </c>
      <c r="Q25" s="2" t="s">
        <v>70</v>
      </c>
      <c r="R25" s="3"/>
      <c r="S25" s="3"/>
      <c r="T25" t="str">
        <f>Q25</f>
        <v>South</v>
      </c>
      <c r="U25" t="str">
        <f t="shared" si="13"/>
        <v>Tamil Nadu</v>
      </c>
      <c r="V25">
        <f t="shared" si="14"/>
        <v>36137975</v>
      </c>
      <c r="W25">
        <f t="shared" si="15"/>
        <v>36009055</v>
      </c>
      <c r="Z25" s="2" t="s">
        <v>31</v>
      </c>
      <c r="AA25" s="3">
        <v>10086292</v>
      </c>
      <c r="AB25" t="str">
        <f t="shared" si="8"/>
        <v>Uttarakhand</v>
      </c>
      <c r="AC25">
        <f t="shared" si="9"/>
        <v>10086292</v>
      </c>
      <c r="AE25" s="2" t="s">
        <v>70</v>
      </c>
      <c r="AF25" s="3"/>
      <c r="AG25" t="str">
        <f>AE25</f>
        <v>South</v>
      </c>
      <c r="AH25" t="str">
        <f t="shared" si="10"/>
        <v>Kerala</v>
      </c>
      <c r="AI25">
        <f t="shared" si="11"/>
        <v>1351237</v>
      </c>
    </row>
    <row r="26" spans="2:35" x14ac:dyDescent="0.3">
      <c r="B26" s="4" t="s">
        <v>16</v>
      </c>
      <c r="C26" s="3">
        <v>72147030</v>
      </c>
      <c r="E26" t="str">
        <f t="shared" ref="E26:F30" si="16">B26</f>
        <v>Tamil Nadu</v>
      </c>
      <c r="F26">
        <f t="shared" si="16"/>
        <v>72147030</v>
      </c>
      <c r="H26" s="4" t="s">
        <v>20</v>
      </c>
      <c r="I26" s="3">
        <v>996</v>
      </c>
      <c r="K26" t="str">
        <f t="shared" si="3"/>
        <v>Karnataka</v>
      </c>
      <c r="L26">
        <f t="shared" si="4"/>
        <v>973</v>
      </c>
      <c r="Q26" s="4" t="s">
        <v>16</v>
      </c>
      <c r="R26" s="3">
        <v>36137975</v>
      </c>
      <c r="S26" s="3">
        <v>36009055</v>
      </c>
      <c r="U26" t="str">
        <f t="shared" ref="U26:U44" si="17">Q27</f>
        <v>Karnataka</v>
      </c>
      <c r="V26">
        <f t="shared" ref="V26:V44" si="18">R27</f>
        <v>30966657</v>
      </c>
      <c r="W26">
        <f t="shared" ref="W26:W44" si="19">S27</f>
        <v>30128640</v>
      </c>
      <c r="Z26" s="2" t="s">
        <v>32</v>
      </c>
      <c r="AA26" s="3">
        <v>6864602</v>
      </c>
      <c r="AB26" t="str">
        <f t="shared" si="8"/>
        <v>Himachal Pradesh</v>
      </c>
      <c r="AC26">
        <f t="shared" si="9"/>
        <v>6864602</v>
      </c>
      <c r="AE26" s="4" t="s">
        <v>23</v>
      </c>
      <c r="AF26" s="3">
        <v>1351237</v>
      </c>
      <c r="AH26" t="str">
        <f t="shared" si="10"/>
        <v>Karnataka</v>
      </c>
      <c r="AI26">
        <f t="shared" si="11"/>
        <v>838017</v>
      </c>
    </row>
    <row r="27" spans="2:35" x14ac:dyDescent="0.3">
      <c r="B27" s="4" t="s">
        <v>18</v>
      </c>
      <c r="C27" s="3">
        <v>61095297</v>
      </c>
      <c r="E27" t="str">
        <f t="shared" si="16"/>
        <v>Karnataka</v>
      </c>
      <c r="F27">
        <f t="shared" si="16"/>
        <v>61095297</v>
      </c>
      <c r="H27" s="4" t="s">
        <v>18</v>
      </c>
      <c r="I27" s="3">
        <v>973</v>
      </c>
      <c r="K27" t="str">
        <f t="shared" si="3"/>
        <v>Kerala</v>
      </c>
      <c r="L27">
        <f t="shared" si="4"/>
        <v>1084</v>
      </c>
      <c r="Q27" s="4" t="s">
        <v>18</v>
      </c>
      <c r="R27" s="3">
        <v>30966657</v>
      </c>
      <c r="S27" s="3">
        <v>30128640</v>
      </c>
      <c r="U27" t="str">
        <f t="shared" si="17"/>
        <v>Andhra Pradesh</v>
      </c>
      <c r="V27">
        <f t="shared" si="18"/>
        <v>24738068</v>
      </c>
      <c r="W27">
        <f t="shared" si="19"/>
        <v>24648731</v>
      </c>
      <c r="Z27" s="2" t="s">
        <v>33</v>
      </c>
      <c r="AA27" s="3">
        <v>3673917</v>
      </c>
      <c r="AB27" t="str">
        <f t="shared" si="8"/>
        <v>Tripura</v>
      </c>
      <c r="AC27">
        <f t="shared" si="9"/>
        <v>3673917</v>
      </c>
      <c r="AE27" s="4" t="s">
        <v>18</v>
      </c>
      <c r="AF27" s="3">
        <v>838017</v>
      </c>
      <c r="AH27" t="str">
        <f t="shared" si="10"/>
        <v>Telangana</v>
      </c>
      <c r="AI27">
        <f t="shared" si="11"/>
        <v>214178</v>
      </c>
    </row>
    <row r="28" spans="2:35" x14ac:dyDescent="0.3">
      <c r="B28" s="4" t="s">
        <v>20</v>
      </c>
      <c r="C28" s="3">
        <v>49386799</v>
      </c>
      <c r="E28" t="str">
        <f t="shared" si="16"/>
        <v>Andhra Pradesh</v>
      </c>
      <c r="F28">
        <f t="shared" si="16"/>
        <v>49386799</v>
      </c>
      <c r="H28" s="4" t="s">
        <v>23</v>
      </c>
      <c r="I28" s="3">
        <v>1084</v>
      </c>
      <c r="K28" t="str">
        <f t="shared" si="3"/>
        <v>Tamil Nadu</v>
      </c>
      <c r="L28">
        <f t="shared" si="4"/>
        <v>996</v>
      </c>
      <c r="Q28" s="4" t="s">
        <v>20</v>
      </c>
      <c r="R28" s="3">
        <v>24738068</v>
      </c>
      <c r="S28" s="3">
        <v>24648731</v>
      </c>
      <c r="U28" t="str">
        <f t="shared" si="17"/>
        <v>Telangana</v>
      </c>
      <c r="V28">
        <f t="shared" si="18"/>
        <v>17704078</v>
      </c>
      <c r="W28">
        <f t="shared" si="19"/>
        <v>17489900</v>
      </c>
      <c r="Z28" s="2" t="s">
        <v>34</v>
      </c>
      <c r="AA28" s="3">
        <v>2966889</v>
      </c>
      <c r="AB28" t="str">
        <f t="shared" si="8"/>
        <v>Meghalaya</v>
      </c>
      <c r="AC28">
        <f t="shared" si="9"/>
        <v>2966889</v>
      </c>
      <c r="AE28" s="4" t="s">
        <v>22</v>
      </c>
      <c r="AF28" s="3">
        <v>214178</v>
      </c>
      <c r="AH28" t="str">
        <f t="shared" si="10"/>
        <v>Tamil Nadu</v>
      </c>
      <c r="AI28">
        <f t="shared" si="11"/>
        <v>128920</v>
      </c>
    </row>
    <row r="29" spans="2:35" x14ac:dyDescent="0.3">
      <c r="B29" s="4" t="s">
        <v>22</v>
      </c>
      <c r="C29" s="3">
        <v>35193978</v>
      </c>
      <c r="E29" t="str">
        <f t="shared" si="16"/>
        <v>Telangana</v>
      </c>
      <c r="F29">
        <f t="shared" si="16"/>
        <v>35193978</v>
      </c>
      <c r="H29" s="4" t="s">
        <v>16</v>
      </c>
      <c r="I29" s="3">
        <v>996</v>
      </c>
      <c r="K29" t="str">
        <f t="shared" si="3"/>
        <v>Telangana</v>
      </c>
      <c r="L29">
        <f t="shared" si="4"/>
        <v>988</v>
      </c>
      <c r="Q29" s="4" t="s">
        <v>22</v>
      </c>
      <c r="R29" s="3">
        <v>17704078</v>
      </c>
      <c r="S29" s="3">
        <v>17489900</v>
      </c>
      <c r="U29" t="str">
        <f t="shared" si="17"/>
        <v>Kerala</v>
      </c>
      <c r="V29">
        <f t="shared" si="18"/>
        <v>16027412</v>
      </c>
      <c r="W29">
        <f t="shared" si="19"/>
        <v>17378649</v>
      </c>
      <c r="Z29" s="2" t="s">
        <v>35</v>
      </c>
      <c r="AA29" s="3">
        <v>2855794</v>
      </c>
      <c r="AB29" t="str">
        <f t="shared" si="8"/>
        <v>Manipur</v>
      </c>
      <c r="AC29">
        <f t="shared" si="9"/>
        <v>2855794</v>
      </c>
      <c r="AE29" s="4" t="s">
        <v>16</v>
      </c>
      <c r="AF29" s="3">
        <v>128920</v>
      </c>
      <c r="AH29" t="str">
        <f t="shared" si="10"/>
        <v>Andhra Pradesh</v>
      </c>
      <c r="AI29">
        <f t="shared" si="11"/>
        <v>89337</v>
      </c>
    </row>
    <row r="30" spans="2:35" x14ac:dyDescent="0.3">
      <c r="B30" s="4" t="s">
        <v>23</v>
      </c>
      <c r="C30" s="3">
        <v>33406061</v>
      </c>
      <c r="E30" t="str">
        <f t="shared" si="16"/>
        <v>Kerala</v>
      </c>
      <c r="F30">
        <f t="shared" si="16"/>
        <v>33406061</v>
      </c>
      <c r="H30" s="4" t="s">
        <v>22</v>
      </c>
      <c r="I30" s="3">
        <v>988</v>
      </c>
      <c r="Q30" s="4" t="s">
        <v>23</v>
      </c>
      <c r="R30" s="3">
        <v>16027412</v>
      </c>
      <c r="S30" s="3">
        <v>17378649</v>
      </c>
      <c r="U30" t="str">
        <f t="shared" si="17"/>
        <v>Union Territory</v>
      </c>
      <c r="Z30" s="2" t="s">
        <v>36</v>
      </c>
      <c r="AA30" s="3">
        <v>1978502</v>
      </c>
      <c r="AB30" t="str">
        <f t="shared" si="8"/>
        <v>Nagaland</v>
      </c>
      <c r="AC30">
        <f t="shared" si="9"/>
        <v>1978502</v>
      </c>
      <c r="AE30" s="4" t="s">
        <v>20</v>
      </c>
      <c r="AF30" s="3">
        <v>89337</v>
      </c>
    </row>
    <row r="31" spans="2:35" x14ac:dyDescent="0.3">
      <c r="B31" s="2" t="s">
        <v>71</v>
      </c>
      <c r="C31" s="3"/>
      <c r="D31" t="str">
        <f>B31</f>
        <v>Union Territory</v>
      </c>
      <c r="H31" s="2" t="s">
        <v>71</v>
      </c>
      <c r="I31" s="3"/>
      <c r="J31" t="str">
        <f>H31</f>
        <v>Union Territory</v>
      </c>
      <c r="K31" t="str">
        <f t="shared" si="3"/>
        <v>Andaman and Nicobar Islands (UT)</v>
      </c>
      <c r="L31">
        <f t="shared" si="4"/>
        <v>876</v>
      </c>
      <c r="Q31" s="2" t="s">
        <v>71</v>
      </c>
      <c r="R31" s="3"/>
      <c r="S31" s="3"/>
      <c r="T31" t="str">
        <f>Q31</f>
        <v>Union Territory</v>
      </c>
      <c r="U31" t="str">
        <f t="shared" si="17"/>
        <v>Delhi (UT)</v>
      </c>
      <c r="V31">
        <f t="shared" si="18"/>
        <v>8887326</v>
      </c>
      <c r="W31">
        <f t="shared" si="19"/>
        <v>7800615</v>
      </c>
      <c r="Z31" s="2" t="s">
        <v>37</v>
      </c>
      <c r="AA31" s="3">
        <v>1458545</v>
      </c>
      <c r="AB31" t="str">
        <f t="shared" si="8"/>
        <v>Goa</v>
      </c>
      <c r="AC31">
        <f t="shared" si="9"/>
        <v>1458545</v>
      </c>
      <c r="AE31" s="2" t="s">
        <v>71</v>
      </c>
      <c r="AF31" s="3"/>
      <c r="AG31" t="str">
        <f>AE31</f>
        <v>Union Territory</v>
      </c>
      <c r="AH31" t="str">
        <f t="shared" si="10"/>
        <v>Delhi (UT)</v>
      </c>
      <c r="AI31">
        <f t="shared" si="11"/>
        <v>1086711</v>
      </c>
    </row>
    <row r="32" spans="2:35" x14ac:dyDescent="0.3">
      <c r="B32" s="4" t="s">
        <v>29</v>
      </c>
      <c r="C32" s="3">
        <v>16787941</v>
      </c>
      <c r="E32" t="str">
        <f t="shared" ref="E32:F38" si="20">B32</f>
        <v>Delhi (UT)</v>
      </c>
      <c r="F32">
        <f t="shared" si="20"/>
        <v>16787941</v>
      </c>
      <c r="H32" s="4" t="s">
        <v>43</v>
      </c>
      <c r="I32" s="3">
        <v>876</v>
      </c>
      <c r="K32" t="str">
        <f t="shared" si="3"/>
        <v>Chandigarh (UT)</v>
      </c>
      <c r="L32">
        <f t="shared" si="4"/>
        <v>818</v>
      </c>
      <c r="Q32" s="4" t="s">
        <v>29</v>
      </c>
      <c r="R32" s="3">
        <v>8887326</v>
      </c>
      <c r="S32" s="3">
        <v>7800615</v>
      </c>
      <c r="U32" t="str">
        <f t="shared" si="17"/>
        <v>Puducherry (UT)</v>
      </c>
      <c r="V32">
        <f t="shared" si="18"/>
        <v>612511</v>
      </c>
      <c r="W32">
        <f t="shared" si="19"/>
        <v>635442</v>
      </c>
      <c r="Z32" s="2" t="s">
        <v>38</v>
      </c>
      <c r="AA32" s="3">
        <v>1383727</v>
      </c>
      <c r="AB32" t="str">
        <f t="shared" si="8"/>
        <v>Arunachal Pradesh</v>
      </c>
      <c r="AC32">
        <f t="shared" si="9"/>
        <v>1383727</v>
      </c>
      <c r="AE32" s="4" t="s">
        <v>29</v>
      </c>
      <c r="AF32" s="3">
        <v>1086711</v>
      </c>
      <c r="AH32" t="str">
        <f t="shared" si="10"/>
        <v>Chandigarh (UT)</v>
      </c>
      <c r="AI32">
        <f t="shared" si="11"/>
        <v>105876</v>
      </c>
    </row>
    <row r="33" spans="2:35" x14ac:dyDescent="0.3">
      <c r="B33" s="4" t="s">
        <v>39</v>
      </c>
      <c r="C33" s="3">
        <v>1247953</v>
      </c>
      <c r="E33" t="str">
        <f t="shared" si="20"/>
        <v>Puducherry (UT)</v>
      </c>
      <c r="F33">
        <f t="shared" si="20"/>
        <v>1247953</v>
      </c>
      <c r="H33" s="4" t="s">
        <v>41</v>
      </c>
      <c r="I33" s="3">
        <v>818</v>
      </c>
      <c r="K33" t="str">
        <f t="shared" si="3"/>
        <v>Dadra and Nagar Haveli (UT)</v>
      </c>
      <c r="L33">
        <f t="shared" si="4"/>
        <v>774</v>
      </c>
      <c r="Q33" s="4" t="s">
        <v>39</v>
      </c>
      <c r="R33" s="3">
        <v>612511</v>
      </c>
      <c r="S33" s="3">
        <v>635442</v>
      </c>
      <c r="U33" t="str">
        <f t="shared" si="17"/>
        <v>Chandigarh (UT)</v>
      </c>
      <c r="V33">
        <f t="shared" si="18"/>
        <v>580663</v>
      </c>
      <c r="W33">
        <f t="shared" si="19"/>
        <v>474787</v>
      </c>
      <c r="Z33" s="2" t="s">
        <v>39</v>
      </c>
      <c r="AA33" s="3">
        <v>1247953</v>
      </c>
      <c r="AB33" t="str">
        <f t="shared" si="8"/>
        <v>Puducherry (UT)</v>
      </c>
      <c r="AC33">
        <f t="shared" si="9"/>
        <v>1247953</v>
      </c>
      <c r="AE33" s="4" t="s">
        <v>41</v>
      </c>
      <c r="AF33" s="3">
        <v>105876</v>
      </c>
      <c r="AH33" t="str">
        <f t="shared" si="10"/>
        <v>Daman and Diu (UT)</v>
      </c>
      <c r="AI33">
        <f t="shared" si="11"/>
        <v>57355</v>
      </c>
    </row>
    <row r="34" spans="2:35" x14ac:dyDescent="0.3">
      <c r="B34" s="4" t="s">
        <v>41</v>
      </c>
      <c r="C34" s="3">
        <v>1055450</v>
      </c>
      <c r="E34" t="str">
        <f t="shared" si="20"/>
        <v>Chandigarh (UT)</v>
      </c>
      <c r="F34">
        <f t="shared" si="20"/>
        <v>1055450</v>
      </c>
      <c r="H34" s="4" t="s">
        <v>44</v>
      </c>
      <c r="I34" s="3">
        <v>774</v>
      </c>
      <c r="K34" t="str">
        <f t="shared" si="3"/>
        <v>Daman and Diu (UT)</v>
      </c>
      <c r="L34">
        <f t="shared" si="4"/>
        <v>618</v>
      </c>
      <c r="Q34" s="4" t="s">
        <v>41</v>
      </c>
      <c r="R34" s="3">
        <v>580663</v>
      </c>
      <c r="S34" s="3">
        <v>474787</v>
      </c>
      <c r="U34" t="str">
        <f t="shared" si="17"/>
        <v>Andaman and Nicobar Islands (UT)</v>
      </c>
      <c r="V34">
        <f t="shared" si="18"/>
        <v>202871</v>
      </c>
      <c r="W34">
        <f t="shared" si="19"/>
        <v>177710</v>
      </c>
      <c r="Z34" s="2" t="s">
        <v>40</v>
      </c>
      <c r="AA34" s="3">
        <v>1097206</v>
      </c>
      <c r="AB34" t="str">
        <f t="shared" si="8"/>
        <v>Mizoram</v>
      </c>
      <c r="AC34">
        <f t="shared" si="9"/>
        <v>1097206</v>
      </c>
      <c r="AE34" s="4" t="s">
        <v>45</v>
      </c>
      <c r="AF34" s="3">
        <v>57355</v>
      </c>
      <c r="AH34" t="str">
        <f t="shared" si="10"/>
        <v>Dadra and Nagar Haveli (UT)</v>
      </c>
      <c r="AI34">
        <f t="shared" si="11"/>
        <v>43811</v>
      </c>
    </row>
    <row r="35" spans="2:35" x14ac:dyDescent="0.3">
      <c r="B35" s="4" t="s">
        <v>43</v>
      </c>
      <c r="C35" s="3">
        <v>380581</v>
      </c>
      <c r="E35" t="str">
        <f t="shared" si="20"/>
        <v>Andaman and Nicobar Islands (UT)</v>
      </c>
      <c r="F35">
        <f t="shared" si="20"/>
        <v>380581</v>
      </c>
      <c r="H35" s="4" t="s">
        <v>45</v>
      </c>
      <c r="I35" s="3">
        <v>618</v>
      </c>
      <c r="K35" t="str">
        <f t="shared" si="3"/>
        <v>Delhi (UT)</v>
      </c>
      <c r="L35">
        <f t="shared" si="4"/>
        <v>868</v>
      </c>
      <c r="Q35" s="4" t="s">
        <v>43</v>
      </c>
      <c r="R35" s="3">
        <v>202871</v>
      </c>
      <c r="S35" s="3">
        <v>177710</v>
      </c>
      <c r="U35" t="str">
        <f t="shared" si="17"/>
        <v>Dadra and Nagar Haveli (UT)</v>
      </c>
      <c r="V35">
        <f t="shared" si="18"/>
        <v>193760</v>
      </c>
      <c r="W35">
        <f t="shared" si="19"/>
        <v>149949</v>
      </c>
      <c r="Z35" s="2" t="s">
        <v>41</v>
      </c>
      <c r="AA35" s="3">
        <v>1055450</v>
      </c>
      <c r="AB35" t="str">
        <f t="shared" si="8"/>
        <v>Chandigarh (UT)</v>
      </c>
      <c r="AC35">
        <f t="shared" si="9"/>
        <v>1055450</v>
      </c>
      <c r="AE35" s="4" t="s">
        <v>44</v>
      </c>
      <c r="AF35" s="3">
        <v>43811</v>
      </c>
      <c r="AH35" t="str">
        <f t="shared" si="10"/>
        <v>Andaman and Nicobar Islands (UT)</v>
      </c>
      <c r="AI35">
        <f t="shared" si="11"/>
        <v>25161</v>
      </c>
    </row>
    <row r="36" spans="2:35" x14ac:dyDescent="0.3">
      <c r="B36" s="4" t="s">
        <v>44</v>
      </c>
      <c r="C36" s="3">
        <v>343709</v>
      </c>
      <c r="E36" t="str">
        <f t="shared" si="20"/>
        <v>Dadra and Nagar Haveli (UT)</v>
      </c>
      <c r="F36">
        <f t="shared" si="20"/>
        <v>343709</v>
      </c>
      <c r="H36" s="4" t="s">
        <v>29</v>
      </c>
      <c r="I36" s="3">
        <v>868</v>
      </c>
      <c r="K36" t="str">
        <f t="shared" si="3"/>
        <v>Lakshadweep (UT)</v>
      </c>
      <c r="L36">
        <f t="shared" si="4"/>
        <v>946</v>
      </c>
      <c r="Q36" s="4" t="s">
        <v>44</v>
      </c>
      <c r="R36" s="3">
        <v>193760</v>
      </c>
      <c r="S36" s="3">
        <v>149949</v>
      </c>
      <c r="U36" t="str">
        <f t="shared" si="17"/>
        <v>Daman and Diu (UT)</v>
      </c>
      <c r="V36">
        <f t="shared" si="18"/>
        <v>150301</v>
      </c>
      <c r="W36">
        <f t="shared" si="19"/>
        <v>92946</v>
      </c>
      <c r="Z36" s="2" t="s">
        <v>42</v>
      </c>
      <c r="AA36" s="3">
        <v>610577</v>
      </c>
      <c r="AB36" t="str">
        <f t="shared" si="8"/>
        <v>Sikkim</v>
      </c>
      <c r="AC36">
        <f t="shared" si="9"/>
        <v>610577</v>
      </c>
      <c r="AE36" s="4" t="s">
        <v>43</v>
      </c>
      <c r="AF36" s="3">
        <v>25161</v>
      </c>
      <c r="AH36" t="str">
        <f t="shared" si="10"/>
        <v>Puducherry (UT)</v>
      </c>
      <c r="AI36">
        <f t="shared" si="11"/>
        <v>22931</v>
      </c>
    </row>
    <row r="37" spans="2:35" x14ac:dyDescent="0.3">
      <c r="B37" s="4" t="s">
        <v>45</v>
      </c>
      <c r="C37" s="3">
        <v>243247</v>
      </c>
      <c r="E37" t="str">
        <f t="shared" si="20"/>
        <v>Daman and Diu (UT)</v>
      </c>
      <c r="F37">
        <f t="shared" si="20"/>
        <v>243247</v>
      </c>
      <c r="H37" s="4" t="s">
        <v>46</v>
      </c>
      <c r="I37" s="3">
        <v>946</v>
      </c>
      <c r="K37" t="str">
        <f t="shared" si="3"/>
        <v>Puducherry (UT)</v>
      </c>
      <c r="L37">
        <f t="shared" si="4"/>
        <v>1037</v>
      </c>
      <c r="Q37" s="4" t="s">
        <v>45</v>
      </c>
      <c r="R37" s="3">
        <v>150301</v>
      </c>
      <c r="S37" s="3">
        <v>92946</v>
      </c>
      <c r="U37" t="str">
        <f t="shared" si="17"/>
        <v>Lakshadweep (UT)</v>
      </c>
      <c r="V37">
        <f t="shared" si="18"/>
        <v>33123</v>
      </c>
      <c r="W37">
        <f t="shared" si="19"/>
        <v>31350</v>
      </c>
      <c r="Z37" s="2" t="s">
        <v>43</v>
      </c>
      <c r="AA37" s="3">
        <v>380581</v>
      </c>
      <c r="AB37" t="str">
        <f t="shared" si="8"/>
        <v>Andaman and Nicobar Islands (UT)</v>
      </c>
      <c r="AC37">
        <f t="shared" si="9"/>
        <v>380581</v>
      </c>
      <c r="AE37" s="4" t="s">
        <v>39</v>
      </c>
      <c r="AF37" s="3">
        <v>22931</v>
      </c>
      <c r="AH37" t="str">
        <f t="shared" si="10"/>
        <v>Lakshadweep (UT)</v>
      </c>
      <c r="AI37">
        <f t="shared" si="11"/>
        <v>1773</v>
      </c>
    </row>
    <row r="38" spans="2:35" x14ac:dyDescent="0.3">
      <c r="B38" s="4" t="s">
        <v>46</v>
      </c>
      <c r="C38" s="3">
        <v>64473</v>
      </c>
      <c r="E38" t="str">
        <f t="shared" si="20"/>
        <v>Lakshadweep (UT)</v>
      </c>
      <c r="F38">
        <f t="shared" si="20"/>
        <v>64473</v>
      </c>
      <c r="H38" s="4" t="s">
        <v>39</v>
      </c>
      <c r="I38" s="3">
        <v>1037</v>
      </c>
      <c r="L38">
        <f t="shared" si="4"/>
        <v>0</v>
      </c>
      <c r="Q38" s="4" t="s">
        <v>46</v>
      </c>
      <c r="R38" s="3">
        <v>33123</v>
      </c>
      <c r="S38" s="3">
        <v>31350</v>
      </c>
      <c r="U38" t="str">
        <f t="shared" si="17"/>
        <v>West</v>
      </c>
      <c r="Z38" s="2" t="s">
        <v>44</v>
      </c>
      <c r="AA38" s="3">
        <v>343709</v>
      </c>
      <c r="AB38" t="str">
        <f t="shared" si="8"/>
        <v>Dadra and Nagar Haveli (UT)</v>
      </c>
      <c r="AC38">
        <f t="shared" si="9"/>
        <v>343709</v>
      </c>
      <c r="AE38" s="4" t="s">
        <v>46</v>
      </c>
      <c r="AF38" s="3">
        <v>1773</v>
      </c>
    </row>
    <row r="39" spans="2:35" x14ac:dyDescent="0.3">
      <c r="B39" s="2" t="s">
        <v>68</v>
      </c>
      <c r="C39" s="3"/>
      <c r="D39" t="str">
        <f>B39</f>
        <v>West</v>
      </c>
      <c r="H39" s="2" t="s">
        <v>68</v>
      </c>
      <c r="I39" s="3"/>
      <c r="J39" t="str">
        <f>H39</f>
        <v>West</v>
      </c>
      <c r="K39" t="str">
        <f t="shared" si="3"/>
        <v>Chhattisgarh</v>
      </c>
      <c r="L39">
        <f t="shared" si="4"/>
        <v>991</v>
      </c>
      <c r="Q39" s="2" t="s">
        <v>68</v>
      </c>
      <c r="R39" s="3"/>
      <c r="S39" s="3"/>
      <c r="T39" t="str">
        <f>Q39</f>
        <v>West</v>
      </c>
      <c r="U39" t="str">
        <f t="shared" si="17"/>
        <v>Maharashtra</v>
      </c>
      <c r="V39">
        <f t="shared" si="18"/>
        <v>58243056</v>
      </c>
      <c r="W39">
        <f t="shared" si="19"/>
        <v>54131277</v>
      </c>
      <c r="Z39" s="2" t="s">
        <v>45</v>
      </c>
      <c r="AA39" s="3">
        <v>243247</v>
      </c>
      <c r="AB39" t="str">
        <f t="shared" si="8"/>
        <v>Daman and Diu (UT)</v>
      </c>
      <c r="AC39">
        <f t="shared" si="9"/>
        <v>243247</v>
      </c>
      <c r="AE39" s="2" t="s">
        <v>68</v>
      </c>
      <c r="AF39" s="3"/>
      <c r="AG39" t="str">
        <f>AE39</f>
        <v>West</v>
      </c>
      <c r="AH39" t="str">
        <f t="shared" si="10"/>
        <v>Maharashtra</v>
      </c>
      <c r="AI39">
        <f t="shared" si="11"/>
        <v>4111779</v>
      </c>
    </row>
    <row r="40" spans="2:35" x14ac:dyDescent="0.3">
      <c r="B40" s="4" t="s">
        <v>12</v>
      </c>
      <c r="C40" s="3">
        <v>112374333</v>
      </c>
      <c r="E40" t="str">
        <f t="shared" ref="E40:F45" si="21">B40</f>
        <v>Maharashtra</v>
      </c>
      <c r="F40">
        <f t="shared" si="21"/>
        <v>112374333</v>
      </c>
      <c r="H40" s="4" t="s">
        <v>27</v>
      </c>
      <c r="I40" s="3">
        <v>991</v>
      </c>
      <c r="K40" t="str">
        <f t="shared" si="3"/>
        <v>Goa</v>
      </c>
      <c r="L40">
        <f t="shared" si="4"/>
        <v>973</v>
      </c>
      <c r="Q40" s="4" t="s">
        <v>12</v>
      </c>
      <c r="R40" s="3">
        <v>58243056</v>
      </c>
      <c r="S40" s="3">
        <v>54131277</v>
      </c>
      <c r="U40" t="str">
        <f t="shared" si="17"/>
        <v>Rajasthan</v>
      </c>
      <c r="V40">
        <f t="shared" si="18"/>
        <v>35550997</v>
      </c>
      <c r="W40">
        <f t="shared" si="19"/>
        <v>32997440</v>
      </c>
      <c r="Z40" s="2" t="s">
        <v>46</v>
      </c>
      <c r="AA40" s="3">
        <v>64473</v>
      </c>
      <c r="AB40" t="str">
        <f t="shared" si="8"/>
        <v>Lakshadweep (UT)</v>
      </c>
      <c r="AC40">
        <f t="shared" si="9"/>
        <v>64473</v>
      </c>
      <c r="AE40" s="4" t="s">
        <v>12</v>
      </c>
      <c r="AF40" s="3">
        <v>4111779</v>
      </c>
      <c r="AH40" t="str">
        <f t="shared" si="10"/>
        <v>Rajasthan</v>
      </c>
      <c r="AI40">
        <f t="shared" si="11"/>
        <v>2553557</v>
      </c>
    </row>
    <row r="41" spans="2:35" x14ac:dyDescent="0.3">
      <c r="B41" s="4" t="s">
        <v>17</v>
      </c>
      <c r="C41" s="3">
        <v>68548437</v>
      </c>
      <c r="E41" t="str">
        <f t="shared" si="21"/>
        <v>Rajasthan</v>
      </c>
      <c r="F41">
        <f t="shared" si="21"/>
        <v>68548437</v>
      </c>
      <c r="H41" s="4" t="s">
        <v>37</v>
      </c>
      <c r="I41" s="3">
        <v>973</v>
      </c>
      <c r="K41" t="str">
        <f t="shared" si="3"/>
        <v>Gujarat</v>
      </c>
      <c r="L41">
        <f t="shared" si="4"/>
        <v>919</v>
      </c>
      <c r="Q41" s="4" t="s">
        <v>17</v>
      </c>
      <c r="R41" s="3">
        <v>35550997</v>
      </c>
      <c r="S41" s="3">
        <v>32997440</v>
      </c>
      <c r="U41" t="str">
        <f t="shared" si="17"/>
        <v>Gujarat</v>
      </c>
      <c r="V41">
        <f t="shared" si="18"/>
        <v>31491260</v>
      </c>
      <c r="W41">
        <f t="shared" si="19"/>
        <v>28948432</v>
      </c>
      <c r="AE41" s="4" t="s">
        <v>17</v>
      </c>
      <c r="AF41" s="3">
        <v>2553557</v>
      </c>
      <c r="AH41" t="str">
        <f t="shared" si="10"/>
        <v>Gujarat</v>
      </c>
      <c r="AI41">
        <f t="shared" si="11"/>
        <v>2542828</v>
      </c>
    </row>
    <row r="42" spans="2:35" x14ac:dyDescent="0.3">
      <c r="B42" s="4" t="s">
        <v>19</v>
      </c>
      <c r="C42" s="3">
        <v>60439692</v>
      </c>
      <c r="E42" t="str">
        <f t="shared" si="21"/>
        <v>Gujarat</v>
      </c>
      <c r="F42">
        <f t="shared" si="21"/>
        <v>60439692</v>
      </c>
      <c r="H42" s="4" t="s">
        <v>19</v>
      </c>
      <c r="I42" s="3">
        <v>919</v>
      </c>
      <c r="K42" t="str">
        <f t="shared" si="3"/>
        <v>Maharashtra</v>
      </c>
      <c r="L42">
        <f t="shared" si="4"/>
        <v>929</v>
      </c>
      <c r="Q42" s="4" t="s">
        <v>19</v>
      </c>
      <c r="R42" s="3">
        <v>31491260</v>
      </c>
      <c r="S42" s="3">
        <v>28948432</v>
      </c>
      <c r="U42" t="str">
        <f t="shared" si="17"/>
        <v>Punjab</v>
      </c>
      <c r="V42">
        <f t="shared" si="18"/>
        <v>14639465</v>
      </c>
      <c r="W42">
        <f t="shared" si="19"/>
        <v>13103873</v>
      </c>
      <c r="AE42" s="4" t="s">
        <v>19</v>
      </c>
      <c r="AF42" s="3">
        <v>2542828</v>
      </c>
      <c r="AH42" t="str">
        <f t="shared" si="10"/>
        <v>Punjab</v>
      </c>
      <c r="AI42">
        <f t="shared" si="11"/>
        <v>1535592</v>
      </c>
    </row>
    <row r="43" spans="2:35" x14ac:dyDescent="0.3">
      <c r="B43" s="4" t="s">
        <v>26</v>
      </c>
      <c r="C43" s="3">
        <v>27743338</v>
      </c>
      <c r="E43" t="str">
        <f t="shared" si="21"/>
        <v>Punjab</v>
      </c>
      <c r="F43">
        <f t="shared" si="21"/>
        <v>27743338</v>
      </c>
      <c r="H43" s="4" t="s">
        <v>12</v>
      </c>
      <c r="I43" s="3">
        <v>929</v>
      </c>
      <c r="K43" t="str">
        <f t="shared" si="3"/>
        <v>Punjab</v>
      </c>
      <c r="L43">
        <f t="shared" si="4"/>
        <v>895</v>
      </c>
      <c r="Q43" s="4" t="s">
        <v>26</v>
      </c>
      <c r="R43" s="3">
        <v>14639465</v>
      </c>
      <c r="S43" s="3">
        <v>13103873</v>
      </c>
      <c r="U43" t="str">
        <f t="shared" si="17"/>
        <v>Chhattisgarh</v>
      </c>
      <c r="V43">
        <f t="shared" si="18"/>
        <v>12832895</v>
      </c>
      <c r="W43">
        <f t="shared" si="19"/>
        <v>12712303</v>
      </c>
      <c r="AE43" s="4" t="s">
        <v>26</v>
      </c>
      <c r="AF43" s="3">
        <v>1535592</v>
      </c>
      <c r="AH43" t="str">
        <f t="shared" si="10"/>
        <v>Chhattisgarh</v>
      </c>
      <c r="AI43">
        <f t="shared" si="11"/>
        <v>120592</v>
      </c>
    </row>
    <row r="44" spans="2:35" x14ac:dyDescent="0.3">
      <c r="B44" s="4" t="s">
        <v>27</v>
      </c>
      <c r="C44" s="3">
        <v>25545198</v>
      </c>
      <c r="E44" t="str">
        <f t="shared" si="21"/>
        <v>Chhattisgarh</v>
      </c>
      <c r="F44">
        <f t="shared" si="21"/>
        <v>25545198</v>
      </c>
      <c r="H44" s="4" t="s">
        <v>26</v>
      </c>
      <c r="I44" s="3">
        <v>895</v>
      </c>
      <c r="K44" t="str">
        <f t="shared" si="3"/>
        <v>Rajasthan</v>
      </c>
      <c r="L44">
        <f t="shared" si="4"/>
        <v>928</v>
      </c>
      <c r="Q44" s="4" t="s">
        <v>27</v>
      </c>
      <c r="R44" s="3">
        <v>12832895</v>
      </c>
      <c r="S44" s="3">
        <v>12712303</v>
      </c>
      <c r="U44" t="str">
        <f t="shared" si="17"/>
        <v>Goa</v>
      </c>
      <c r="V44">
        <f t="shared" si="18"/>
        <v>739140</v>
      </c>
      <c r="W44">
        <f t="shared" si="19"/>
        <v>719405</v>
      </c>
      <c r="AE44" s="4" t="s">
        <v>27</v>
      </c>
      <c r="AF44" s="3">
        <v>120592</v>
      </c>
      <c r="AH44" t="str">
        <f t="shared" si="10"/>
        <v>Goa</v>
      </c>
      <c r="AI44">
        <f t="shared" si="11"/>
        <v>19735</v>
      </c>
    </row>
    <row r="45" spans="2:35" x14ac:dyDescent="0.3">
      <c r="B45" s="4" t="s">
        <v>37</v>
      </c>
      <c r="C45" s="3">
        <v>1458545</v>
      </c>
      <c r="E45" t="str">
        <f t="shared" si="21"/>
        <v>Goa</v>
      </c>
      <c r="F45">
        <f t="shared" si="21"/>
        <v>1458545</v>
      </c>
      <c r="H45" s="4" t="s">
        <v>17</v>
      </c>
      <c r="I45" s="3">
        <v>928</v>
      </c>
      <c r="Q45" s="4" t="s">
        <v>37</v>
      </c>
      <c r="R45" s="3">
        <v>739140</v>
      </c>
      <c r="S45" s="3">
        <v>719405</v>
      </c>
      <c r="AE45" s="4" t="s">
        <v>37</v>
      </c>
      <c r="AF45" s="3">
        <v>19735</v>
      </c>
    </row>
    <row r="49" spans="1:35" x14ac:dyDescent="0.3">
      <c r="D49" t="s">
        <v>73</v>
      </c>
      <c r="J49" t="s">
        <v>76</v>
      </c>
      <c r="T49" t="s">
        <v>75</v>
      </c>
    </row>
    <row r="50" spans="1:35" x14ac:dyDescent="0.3">
      <c r="J50" t="s">
        <v>57</v>
      </c>
      <c r="K50" t="s">
        <v>55</v>
      </c>
      <c r="L50" t="s">
        <v>61</v>
      </c>
      <c r="T50" t="s">
        <v>57</v>
      </c>
      <c r="U50" t="s">
        <v>55</v>
      </c>
      <c r="V50" t="s">
        <v>3</v>
      </c>
      <c r="W50" t="s">
        <v>4</v>
      </c>
      <c r="AG50" t="s">
        <v>78</v>
      </c>
    </row>
    <row r="51" spans="1:35" x14ac:dyDescent="0.3">
      <c r="D51" t="s">
        <v>57</v>
      </c>
      <c r="E51" t="s">
        <v>55</v>
      </c>
      <c r="F51" t="s">
        <v>56</v>
      </c>
      <c r="J51" t="str">
        <f>J5</f>
        <v>East</v>
      </c>
      <c r="K51" t="str">
        <f t="shared" ref="K51:L51" si="22">K5</f>
        <v>Arunachal Pradesh</v>
      </c>
      <c r="L51">
        <f t="shared" si="22"/>
        <v>938</v>
      </c>
      <c r="T51" t="str">
        <f>T5</f>
        <v>East</v>
      </c>
      <c r="U51" t="str">
        <f t="shared" ref="U51:W51" si="23">U5</f>
        <v>West Bengal</v>
      </c>
      <c r="V51">
        <f t="shared" si="23"/>
        <v>46809027</v>
      </c>
      <c r="W51">
        <f t="shared" si="23"/>
        <v>44467088</v>
      </c>
      <c r="AG51" t="s">
        <v>57</v>
      </c>
      <c r="AH51" t="s">
        <v>55</v>
      </c>
      <c r="AI51" t="str">
        <f t="shared" ref="AI51:AI56" si="24">AI4</f>
        <v>Difference Between Gender</v>
      </c>
    </row>
    <row r="52" spans="1:35" x14ac:dyDescent="0.3">
      <c r="D52" t="str">
        <f>D5</f>
        <v>East</v>
      </c>
      <c r="E52" t="str">
        <f t="shared" ref="E52:F56" si="25">E6</f>
        <v>West Bengal</v>
      </c>
      <c r="F52">
        <f t="shared" si="25"/>
        <v>91276115</v>
      </c>
      <c r="K52" t="str">
        <f t="shared" ref="K52:L52" si="26">K6</f>
        <v>Assam</v>
      </c>
      <c r="L52">
        <f t="shared" si="26"/>
        <v>958</v>
      </c>
      <c r="U52" t="str">
        <f t="shared" ref="U52:W52" si="27">U6</f>
        <v>Odisha</v>
      </c>
      <c r="V52">
        <f t="shared" si="27"/>
        <v>21212136</v>
      </c>
      <c r="W52">
        <f t="shared" si="27"/>
        <v>20762082</v>
      </c>
      <c r="AG52" t="str">
        <f>AG5</f>
        <v>East</v>
      </c>
      <c r="AH52" t="str">
        <f>AH5</f>
        <v>West Bengal</v>
      </c>
      <c r="AI52">
        <f t="shared" si="24"/>
        <v>2341939</v>
      </c>
    </row>
    <row r="53" spans="1:35" x14ac:dyDescent="0.3">
      <c r="E53" t="str">
        <f t="shared" si="25"/>
        <v>Odisha</v>
      </c>
      <c r="F53">
        <f t="shared" si="25"/>
        <v>41974218</v>
      </c>
      <c r="K53" t="str">
        <f t="shared" ref="K53:L53" si="28">K7</f>
        <v>Haryana</v>
      </c>
      <c r="L53">
        <f t="shared" si="28"/>
        <v>879</v>
      </c>
      <c r="U53" t="str">
        <f t="shared" ref="U53:W53" si="29">U7</f>
        <v>Jharkhand</v>
      </c>
      <c r="V53">
        <f t="shared" si="29"/>
        <v>16930315</v>
      </c>
      <c r="W53">
        <f t="shared" si="29"/>
        <v>16057819</v>
      </c>
      <c r="AH53" t="str">
        <f>AH6</f>
        <v>Haryana</v>
      </c>
      <c r="AI53">
        <f t="shared" si="24"/>
        <v>1638006</v>
      </c>
    </row>
    <row r="54" spans="1:35" x14ac:dyDescent="0.3">
      <c r="E54" t="str">
        <f t="shared" si="25"/>
        <v>Jharkhand</v>
      </c>
      <c r="F54">
        <f t="shared" si="25"/>
        <v>32988134</v>
      </c>
      <c r="K54" t="str">
        <f t="shared" ref="K54:L54" si="30">K8</f>
        <v>Jharkhand</v>
      </c>
      <c r="L54">
        <f t="shared" si="30"/>
        <v>948</v>
      </c>
      <c r="U54" t="str">
        <f t="shared" ref="U54:W54" si="31">U8</f>
        <v>Assam</v>
      </c>
      <c r="V54">
        <f t="shared" si="31"/>
        <v>15939443</v>
      </c>
      <c r="W54">
        <f t="shared" si="31"/>
        <v>15266133</v>
      </c>
      <c r="AH54" t="str">
        <f>AH7</f>
        <v>Jharkhand</v>
      </c>
      <c r="AI54">
        <f t="shared" si="24"/>
        <v>872496</v>
      </c>
    </row>
    <row r="55" spans="1:35" x14ac:dyDescent="0.3">
      <c r="E55" t="str">
        <f t="shared" si="25"/>
        <v>Assam</v>
      </c>
      <c r="F55">
        <f t="shared" si="25"/>
        <v>31205576</v>
      </c>
      <c r="K55" t="str">
        <f t="shared" ref="K55:L55" si="32">K9</f>
        <v>Manipur</v>
      </c>
      <c r="L55">
        <f t="shared" si="32"/>
        <v>985</v>
      </c>
      <c r="U55" t="str">
        <f t="shared" ref="U55:W55" si="33">U9</f>
        <v>Haryana</v>
      </c>
      <c r="V55">
        <f t="shared" si="33"/>
        <v>13494734</v>
      </c>
      <c r="W55">
        <f t="shared" si="33"/>
        <v>11856728</v>
      </c>
      <c r="AH55" t="str">
        <f>AH8</f>
        <v>Assam</v>
      </c>
      <c r="AI55">
        <f t="shared" si="24"/>
        <v>673310</v>
      </c>
    </row>
    <row r="56" spans="1:35" x14ac:dyDescent="0.3">
      <c r="E56" t="str">
        <f t="shared" si="25"/>
        <v>Haryana</v>
      </c>
      <c r="F56">
        <f t="shared" si="25"/>
        <v>25351462</v>
      </c>
      <c r="U56" t="s">
        <v>66</v>
      </c>
      <c r="V56">
        <f>SUM(V51:V55)</f>
        <v>114385655</v>
      </c>
      <c r="W56">
        <f>SUM(W51:W55)</f>
        <v>108409850</v>
      </c>
      <c r="AH56" t="str">
        <f>AH9</f>
        <v>Odisha</v>
      </c>
      <c r="AI56">
        <f t="shared" si="24"/>
        <v>450054</v>
      </c>
    </row>
    <row r="57" spans="1:35" x14ac:dyDescent="0.3">
      <c r="E57" t="s">
        <v>66</v>
      </c>
      <c r="F57">
        <f>SUM(F52:F56)</f>
        <v>222795505</v>
      </c>
      <c r="AH57" t="s">
        <v>66</v>
      </c>
      <c r="AI57">
        <f>SUM(AI52:AI56)</f>
        <v>5975805</v>
      </c>
    </row>
    <row r="60" spans="1:35" x14ac:dyDescent="0.3">
      <c r="C60" t="s">
        <v>94</v>
      </c>
    </row>
    <row r="61" spans="1:35" x14ac:dyDescent="0.3">
      <c r="A61" s="1" t="s">
        <v>48</v>
      </c>
      <c r="B61" t="s">
        <v>49</v>
      </c>
      <c r="C61" t="s">
        <v>50</v>
      </c>
      <c r="D61" t="s">
        <v>57</v>
      </c>
      <c r="E61" t="s">
        <v>55</v>
      </c>
      <c r="F61" t="s">
        <v>3</v>
      </c>
      <c r="G61" t="s">
        <v>4</v>
      </c>
      <c r="H61" t="s">
        <v>79</v>
      </c>
      <c r="I61" t="s">
        <v>80</v>
      </c>
    </row>
    <row r="62" spans="1:35" x14ac:dyDescent="0.3">
      <c r="A62" s="2" t="s">
        <v>69</v>
      </c>
      <c r="B62" s="3"/>
      <c r="C62" s="3"/>
      <c r="D62" t="str">
        <f>A62</f>
        <v>East</v>
      </c>
      <c r="E62" t="str">
        <f>A63</f>
        <v>West Bengal</v>
      </c>
      <c r="F62">
        <f t="shared" ref="F62:G62" si="34">B63</f>
        <v>46809027</v>
      </c>
      <c r="G62">
        <f t="shared" si="34"/>
        <v>44467088</v>
      </c>
      <c r="H62">
        <f t="shared" ref="H62:H73" si="35">F62/$M$63</f>
        <v>0.38530879466466694</v>
      </c>
      <c r="I62">
        <f t="shared" ref="I62:I73" si="36">G62/$N$63</f>
        <v>0.38577436109474089</v>
      </c>
      <c r="L62" t="s">
        <v>69</v>
      </c>
      <c r="M62" t="s">
        <v>3</v>
      </c>
      <c r="N62" t="s">
        <v>4</v>
      </c>
    </row>
    <row r="63" spans="1:35" x14ac:dyDescent="0.3">
      <c r="A63" s="4" t="s">
        <v>14</v>
      </c>
      <c r="B63" s="3">
        <v>46809027</v>
      </c>
      <c r="C63" s="3">
        <v>44467088</v>
      </c>
      <c r="E63" t="str">
        <f t="shared" ref="E63:E101" si="37">A64</f>
        <v>Odisha</v>
      </c>
      <c r="F63">
        <f t="shared" ref="F63:F101" si="38">B64</f>
        <v>21212136</v>
      </c>
      <c r="G63">
        <f t="shared" ref="G63:G101" si="39">C64</f>
        <v>20762082</v>
      </c>
      <c r="H63">
        <f t="shared" si="35"/>
        <v>0.17460782840931494</v>
      </c>
      <c r="I63">
        <f t="shared" si="36"/>
        <v>0.1801215073617283</v>
      </c>
      <c r="L63" t="s">
        <v>66</v>
      </c>
      <c r="M63">
        <f>SUM(F62:F72)</f>
        <v>121484450</v>
      </c>
      <c r="N63">
        <f>SUM(G62:G72)</f>
        <v>115267090</v>
      </c>
    </row>
    <row r="64" spans="1:35" x14ac:dyDescent="0.3">
      <c r="A64" s="4" t="s">
        <v>21</v>
      </c>
      <c r="B64" s="3">
        <v>21212136</v>
      </c>
      <c r="C64" s="3">
        <v>20762082</v>
      </c>
      <c r="E64" t="str">
        <f t="shared" si="37"/>
        <v>Jharkhand</v>
      </c>
      <c r="F64">
        <f t="shared" si="38"/>
        <v>16930315</v>
      </c>
      <c r="G64">
        <f t="shared" si="39"/>
        <v>16057819</v>
      </c>
      <c r="H64">
        <f t="shared" si="35"/>
        <v>0.13936199241960598</v>
      </c>
      <c r="I64">
        <f t="shared" si="36"/>
        <v>0.13930965898419054</v>
      </c>
      <c r="L64" t="str">
        <f>D75</f>
        <v>North</v>
      </c>
    </row>
    <row r="65" spans="1:14" x14ac:dyDescent="0.3">
      <c r="A65" s="4" t="s">
        <v>24</v>
      </c>
      <c r="B65" s="3">
        <v>16930315</v>
      </c>
      <c r="C65" s="3">
        <v>16057819</v>
      </c>
      <c r="E65" t="str">
        <f t="shared" si="37"/>
        <v>Assam</v>
      </c>
      <c r="F65">
        <f t="shared" si="38"/>
        <v>15939443</v>
      </c>
      <c r="G65">
        <f t="shared" si="39"/>
        <v>15266133</v>
      </c>
      <c r="H65">
        <f t="shared" si="35"/>
        <v>0.13120562343575659</v>
      </c>
      <c r="I65">
        <f t="shared" si="36"/>
        <v>0.13244138461376964</v>
      </c>
      <c r="L65" t="s">
        <v>66</v>
      </c>
      <c r="M65">
        <f>SUM(F75:F80)</f>
        <v>211631281</v>
      </c>
      <c r="N65">
        <f>SUM(G75:G80)</f>
        <v>194399517</v>
      </c>
    </row>
    <row r="66" spans="1:14" x14ac:dyDescent="0.3">
      <c r="A66" s="4" t="s">
        <v>25</v>
      </c>
      <c r="B66" s="3">
        <v>15939443</v>
      </c>
      <c r="C66" s="3">
        <v>15266133</v>
      </c>
      <c r="E66" t="str">
        <f t="shared" si="37"/>
        <v>Haryana</v>
      </c>
      <c r="F66">
        <f t="shared" si="38"/>
        <v>13494734</v>
      </c>
      <c r="G66">
        <f t="shared" si="39"/>
        <v>11856728</v>
      </c>
      <c r="H66">
        <f t="shared" si="35"/>
        <v>0.11108198621305031</v>
      </c>
      <c r="I66">
        <f t="shared" si="36"/>
        <v>0.10286308086722759</v>
      </c>
      <c r="L66" t="str">
        <f>D82</f>
        <v>South</v>
      </c>
    </row>
    <row r="67" spans="1:14" x14ac:dyDescent="0.3">
      <c r="A67" s="4" t="s">
        <v>28</v>
      </c>
      <c r="B67" s="3">
        <v>13494734</v>
      </c>
      <c r="C67" s="3">
        <v>11856728</v>
      </c>
      <c r="E67" t="str">
        <f t="shared" si="37"/>
        <v>Tripura</v>
      </c>
      <c r="F67">
        <f t="shared" si="38"/>
        <v>1874376</v>
      </c>
      <c r="G67">
        <f t="shared" si="39"/>
        <v>1799541</v>
      </c>
      <c r="H67">
        <f t="shared" si="35"/>
        <v>1.5428937613003145E-2</v>
      </c>
      <c r="I67">
        <f t="shared" si="36"/>
        <v>1.5611923576798893E-2</v>
      </c>
      <c r="L67" t="s">
        <v>66</v>
      </c>
      <c r="M67">
        <f>SUM(F82:F86)</f>
        <v>125574190</v>
      </c>
      <c r="N67">
        <f>SUM(G82:G86)</f>
        <v>125654975</v>
      </c>
    </row>
    <row r="68" spans="1:14" x14ac:dyDescent="0.3">
      <c r="A68" s="4" t="s">
        <v>33</v>
      </c>
      <c r="B68" s="3">
        <v>1874376</v>
      </c>
      <c r="C68" s="3">
        <v>1799541</v>
      </c>
      <c r="E68" t="str">
        <f t="shared" si="37"/>
        <v>Meghalaya</v>
      </c>
      <c r="F68">
        <f t="shared" si="38"/>
        <v>1491832</v>
      </c>
      <c r="G68">
        <f t="shared" si="39"/>
        <v>1475057</v>
      </c>
      <c r="H68">
        <f t="shared" si="35"/>
        <v>1.2280024315869232E-2</v>
      </c>
      <c r="I68">
        <f t="shared" si="36"/>
        <v>1.279686161939197E-2</v>
      </c>
      <c r="L68" t="str">
        <f>D88</f>
        <v>Union Territory</v>
      </c>
    </row>
    <row r="69" spans="1:14" x14ac:dyDescent="0.3">
      <c r="A69" s="4" t="s">
        <v>34</v>
      </c>
      <c r="B69" s="3">
        <v>1491832</v>
      </c>
      <c r="C69" s="3">
        <v>1475057</v>
      </c>
      <c r="E69" t="str">
        <f t="shared" si="37"/>
        <v>Manipur</v>
      </c>
      <c r="F69">
        <f t="shared" si="38"/>
        <v>1438687</v>
      </c>
      <c r="G69">
        <f t="shared" si="39"/>
        <v>1417107</v>
      </c>
      <c r="H69">
        <f t="shared" si="35"/>
        <v>1.1842560920348242E-2</v>
      </c>
      <c r="I69">
        <f t="shared" si="36"/>
        <v>1.2294116213049188E-2</v>
      </c>
      <c r="L69" t="s">
        <v>66</v>
      </c>
      <c r="M69">
        <f>SUM(F88:F94)</f>
        <v>10660555</v>
      </c>
      <c r="N69">
        <f>SUM(G88:G94)</f>
        <v>9362799</v>
      </c>
    </row>
    <row r="70" spans="1:14" x14ac:dyDescent="0.3">
      <c r="A70" s="4" t="s">
        <v>35</v>
      </c>
      <c r="B70" s="3">
        <v>1438687</v>
      </c>
      <c r="C70" s="3">
        <v>1417107</v>
      </c>
      <c r="E70" t="str">
        <f t="shared" si="37"/>
        <v>Nagaland</v>
      </c>
      <c r="F70">
        <f t="shared" si="38"/>
        <v>1024649</v>
      </c>
      <c r="G70">
        <f t="shared" si="39"/>
        <v>953853</v>
      </c>
      <c r="H70">
        <f t="shared" si="35"/>
        <v>8.4344045678274044E-3</v>
      </c>
      <c r="I70">
        <f t="shared" si="36"/>
        <v>8.2751546863896706E-3</v>
      </c>
      <c r="L70" t="str">
        <f>D96</f>
        <v>West</v>
      </c>
    </row>
    <row r="71" spans="1:14" x14ac:dyDescent="0.3">
      <c r="A71" s="4" t="s">
        <v>36</v>
      </c>
      <c r="B71" s="3">
        <v>1024649</v>
      </c>
      <c r="C71" s="3">
        <v>953853</v>
      </c>
      <c r="E71" t="str">
        <f t="shared" si="37"/>
        <v>Arunachal Pradesh</v>
      </c>
      <c r="F71">
        <f t="shared" si="38"/>
        <v>713912</v>
      </c>
      <c r="G71">
        <f t="shared" si="39"/>
        <v>669815</v>
      </c>
      <c r="H71">
        <f t="shared" si="35"/>
        <v>5.8765710343998759E-3</v>
      </c>
      <c r="I71">
        <f t="shared" si="36"/>
        <v>5.8109821285503085E-3</v>
      </c>
      <c r="L71" t="s">
        <v>66</v>
      </c>
      <c r="M71">
        <f>SUM(F96:F101)</f>
        <v>153496813</v>
      </c>
      <c r="N71">
        <f>SUM(G96:G101)</f>
        <v>142612730</v>
      </c>
    </row>
    <row r="72" spans="1:14" x14ac:dyDescent="0.3">
      <c r="A72" s="4" t="s">
        <v>38</v>
      </c>
      <c r="B72" s="3">
        <v>713912</v>
      </c>
      <c r="C72" s="3">
        <v>669815</v>
      </c>
      <c r="E72" t="str">
        <f t="shared" si="37"/>
        <v>Mizoram</v>
      </c>
      <c r="F72">
        <f t="shared" si="38"/>
        <v>555339</v>
      </c>
      <c r="G72">
        <f t="shared" si="39"/>
        <v>541867</v>
      </c>
      <c r="H72">
        <f t="shared" si="35"/>
        <v>4.5712764061573308E-3</v>
      </c>
      <c r="I72">
        <f t="shared" si="36"/>
        <v>4.7009688541629702E-3</v>
      </c>
    </row>
    <row r="73" spans="1:14" x14ac:dyDescent="0.3">
      <c r="A73" s="4" t="s">
        <v>40</v>
      </c>
      <c r="B73" s="3">
        <v>555339</v>
      </c>
      <c r="C73" s="3">
        <v>541867</v>
      </c>
      <c r="E73" t="str">
        <f t="shared" si="37"/>
        <v>Sikkim</v>
      </c>
      <c r="F73">
        <f t="shared" si="38"/>
        <v>323070</v>
      </c>
      <c r="G73">
        <f t="shared" si="39"/>
        <v>287507</v>
      </c>
      <c r="H73">
        <f t="shared" si="35"/>
        <v>2.6593526990491374E-3</v>
      </c>
      <c r="I73">
        <f t="shared" si="36"/>
        <v>2.4942678781948949E-3</v>
      </c>
    </row>
    <row r="74" spans="1:14" x14ac:dyDescent="0.3">
      <c r="A74" s="4" t="s">
        <v>42</v>
      </c>
      <c r="B74" s="3">
        <v>323070</v>
      </c>
      <c r="C74" s="3">
        <v>287507</v>
      </c>
    </row>
    <row r="75" spans="1:14" x14ac:dyDescent="0.3">
      <c r="A75" s="2" t="s">
        <v>67</v>
      </c>
      <c r="B75" s="3"/>
      <c r="C75" s="3"/>
      <c r="D75" t="str">
        <f>A75</f>
        <v>North</v>
      </c>
      <c r="E75" t="str">
        <f t="shared" si="37"/>
        <v>Uttar Pradesh</v>
      </c>
      <c r="F75">
        <f t="shared" si="38"/>
        <v>104480510</v>
      </c>
      <c r="G75">
        <f t="shared" si="39"/>
        <v>95331831</v>
      </c>
      <c r="H75">
        <f>F75/$M$65</f>
        <v>0.49369124217511118</v>
      </c>
      <c r="I75">
        <f>G75/$N$65</f>
        <v>0.49039129557096584</v>
      </c>
    </row>
    <row r="76" spans="1:14" x14ac:dyDescent="0.3">
      <c r="A76" s="4" t="s">
        <v>11</v>
      </c>
      <c r="B76" s="3">
        <v>104480510</v>
      </c>
      <c r="C76" s="3">
        <v>95331831</v>
      </c>
      <c r="E76" t="str">
        <f t="shared" si="37"/>
        <v>Bihar</v>
      </c>
      <c r="F76">
        <f t="shared" si="38"/>
        <v>54278157</v>
      </c>
      <c r="G76">
        <f t="shared" si="39"/>
        <v>49821295</v>
      </c>
      <c r="H76">
        <f t="shared" ref="H76:H80" si="40">F76/$M$65</f>
        <v>0.25647511437593196</v>
      </c>
      <c r="I76">
        <f t="shared" ref="I76:I80" si="41">G76/$N$65</f>
        <v>0.25628301843980406</v>
      </c>
    </row>
    <row r="77" spans="1:14" x14ac:dyDescent="0.3">
      <c r="A77" s="4" t="s">
        <v>13</v>
      </c>
      <c r="B77" s="3">
        <v>54278157</v>
      </c>
      <c r="C77" s="3">
        <v>49821295</v>
      </c>
      <c r="E77" t="str">
        <f t="shared" si="37"/>
        <v>Madhya Pradesh</v>
      </c>
      <c r="F77">
        <f t="shared" si="38"/>
        <v>37612306</v>
      </c>
      <c r="G77">
        <f t="shared" si="39"/>
        <v>35014503</v>
      </c>
      <c r="H77">
        <f t="shared" si="40"/>
        <v>0.17772564538793298</v>
      </c>
      <c r="I77">
        <f t="shared" si="41"/>
        <v>0.18011620368377768</v>
      </c>
    </row>
    <row r="78" spans="1:14" x14ac:dyDescent="0.3">
      <c r="A78" s="4" t="s">
        <v>15</v>
      </c>
      <c r="B78" s="3">
        <v>37612306</v>
      </c>
      <c r="C78" s="3">
        <v>35014503</v>
      </c>
      <c r="E78" t="str">
        <f t="shared" si="37"/>
        <v>Jammu and Kashmir</v>
      </c>
      <c r="F78">
        <f t="shared" si="38"/>
        <v>6640662</v>
      </c>
      <c r="G78">
        <f t="shared" si="39"/>
        <v>5900640</v>
      </c>
      <c r="H78">
        <f t="shared" si="40"/>
        <v>3.1378452035169604E-2</v>
      </c>
      <c r="I78">
        <f t="shared" si="41"/>
        <v>3.035316183424468E-2</v>
      </c>
    </row>
    <row r="79" spans="1:14" x14ac:dyDescent="0.3">
      <c r="A79" s="4" t="s">
        <v>30</v>
      </c>
      <c r="B79" s="3">
        <v>6640662</v>
      </c>
      <c r="C79" s="3">
        <v>5900640</v>
      </c>
      <c r="E79" t="str">
        <f t="shared" si="37"/>
        <v>Uttarakhand</v>
      </c>
      <c r="F79">
        <f t="shared" si="38"/>
        <v>5137773</v>
      </c>
      <c r="G79">
        <f t="shared" si="39"/>
        <v>4948519</v>
      </c>
      <c r="H79">
        <f t="shared" si="40"/>
        <v>2.4277001848323168E-2</v>
      </c>
      <c r="I79">
        <f t="shared" si="41"/>
        <v>2.5455407895895132E-2</v>
      </c>
    </row>
    <row r="80" spans="1:14" x14ac:dyDescent="0.3">
      <c r="A80" s="4" t="s">
        <v>31</v>
      </c>
      <c r="B80" s="3">
        <v>5137773</v>
      </c>
      <c r="C80" s="3">
        <v>4948519</v>
      </c>
      <c r="E80" t="str">
        <f t="shared" si="37"/>
        <v>Himachal Pradesh</v>
      </c>
      <c r="F80">
        <f t="shared" si="38"/>
        <v>3481873</v>
      </c>
      <c r="G80">
        <f t="shared" si="39"/>
        <v>3382729</v>
      </c>
      <c r="H80">
        <f t="shared" si="40"/>
        <v>1.6452544177531107E-2</v>
      </c>
      <c r="I80">
        <f t="shared" si="41"/>
        <v>1.7400912575312621E-2</v>
      </c>
    </row>
    <row r="81" spans="1:9" x14ac:dyDescent="0.3">
      <c r="A81" s="4" t="s">
        <v>32</v>
      </c>
      <c r="B81" s="3">
        <v>3481873</v>
      </c>
      <c r="C81" s="3">
        <v>3382729</v>
      </c>
    </row>
    <row r="82" spans="1:9" x14ac:dyDescent="0.3">
      <c r="A82" s="2" t="s">
        <v>70</v>
      </c>
      <c r="B82" s="3"/>
      <c r="C82" s="3"/>
      <c r="D82" t="str">
        <f>A82</f>
        <v>South</v>
      </c>
      <c r="E82" t="str">
        <f t="shared" si="37"/>
        <v>Tamil Nadu</v>
      </c>
      <c r="F82">
        <f t="shared" si="38"/>
        <v>36137975</v>
      </c>
      <c r="G82">
        <f t="shared" si="39"/>
        <v>36009055</v>
      </c>
      <c r="H82">
        <f>F82/$M$67</f>
        <v>0.28778186823263602</v>
      </c>
      <c r="I82">
        <f>G82/$N$67</f>
        <v>0.28657086597645659</v>
      </c>
    </row>
    <row r="83" spans="1:9" x14ac:dyDescent="0.3">
      <c r="A83" s="4" t="s">
        <v>16</v>
      </c>
      <c r="B83" s="3">
        <v>36137975</v>
      </c>
      <c r="C83" s="3">
        <v>36009055</v>
      </c>
      <c r="E83" t="str">
        <f t="shared" si="37"/>
        <v>Karnataka</v>
      </c>
      <c r="F83">
        <f t="shared" si="38"/>
        <v>30966657</v>
      </c>
      <c r="G83">
        <f t="shared" si="39"/>
        <v>30128640</v>
      </c>
      <c r="H83">
        <f t="shared" ref="H83:H86" si="42">F83/$M$67</f>
        <v>0.24660049170932338</v>
      </c>
      <c r="I83">
        <f t="shared" ref="I83:I86" si="43">G83/$N$67</f>
        <v>0.23977275869896914</v>
      </c>
    </row>
    <row r="84" spans="1:9" x14ac:dyDescent="0.3">
      <c r="A84" s="4" t="s">
        <v>18</v>
      </c>
      <c r="B84" s="3">
        <v>30966657</v>
      </c>
      <c r="C84" s="3">
        <v>30128640</v>
      </c>
      <c r="E84" t="str">
        <f t="shared" si="37"/>
        <v>Andhra Pradesh</v>
      </c>
      <c r="F84">
        <f t="shared" si="38"/>
        <v>24738068</v>
      </c>
      <c r="G84">
        <f t="shared" si="39"/>
        <v>24648731</v>
      </c>
      <c r="H84">
        <f t="shared" si="42"/>
        <v>0.19699962229499549</v>
      </c>
      <c r="I84">
        <f t="shared" si="43"/>
        <v>0.1961619983609881</v>
      </c>
    </row>
    <row r="85" spans="1:9" x14ac:dyDescent="0.3">
      <c r="A85" s="4" t="s">
        <v>20</v>
      </c>
      <c r="B85" s="3">
        <v>24738068</v>
      </c>
      <c r="C85" s="3">
        <v>24648731</v>
      </c>
      <c r="E85" t="str">
        <f t="shared" si="37"/>
        <v>Telangana</v>
      </c>
      <c r="F85">
        <f t="shared" si="38"/>
        <v>17704078</v>
      </c>
      <c r="G85">
        <f t="shared" si="39"/>
        <v>17489900</v>
      </c>
      <c r="H85">
        <f t="shared" si="42"/>
        <v>0.14098500655270005</v>
      </c>
      <c r="I85">
        <f t="shared" si="43"/>
        <v>0.13918987290395785</v>
      </c>
    </row>
    <row r="86" spans="1:9" x14ac:dyDescent="0.3">
      <c r="A86" s="4" t="s">
        <v>22</v>
      </c>
      <c r="B86" s="3">
        <v>17704078</v>
      </c>
      <c r="C86" s="3">
        <v>17489900</v>
      </c>
      <c r="E86" t="str">
        <f t="shared" si="37"/>
        <v>Kerala</v>
      </c>
      <c r="F86">
        <f t="shared" si="38"/>
        <v>16027412</v>
      </c>
      <c r="G86">
        <f t="shared" si="39"/>
        <v>17378649</v>
      </c>
      <c r="H86">
        <f t="shared" si="42"/>
        <v>0.12763301121034507</v>
      </c>
      <c r="I86">
        <f t="shared" si="43"/>
        <v>0.13830450405962835</v>
      </c>
    </row>
    <row r="87" spans="1:9" x14ac:dyDescent="0.3">
      <c r="A87" s="4" t="s">
        <v>23</v>
      </c>
      <c r="B87" s="3">
        <v>16027412</v>
      </c>
      <c r="C87" s="3">
        <v>17378649</v>
      </c>
    </row>
    <row r="88" spans="1:9" x14ac:dyDescent="0.3">
      <c r="A88" s="2" t="s">
        <v>71</v>
      </c>
      <c r="B88" s="3"/>
      <c r="C88" s="3"/>
      <c r="D88" t="str">
        <f>A88</f>
        <v>Union Territory</v>
      </c>
      <c r="E88" t="str">
        <f t="shared" si="37"/>
        <v>Delhi (UT)</v>
      </c>
      <c r="F88">
        <f t="shared" si="38"/>
        <v>8887326</v>
      </c>
      <c r="G88">
        <f t="shared" si="39"/>
        <v>7800615</v>
      </c>
      <c r="H88">
        <f>F88/$M$69</f>
        <v>0.83366447619284367</v>
      </c>
      <c r="I88">
        <f>G88/$N$69</f>
        <v>0.83314989459882671</v>
      </c>
    </row>
    <row r="89" spans="1:9" x14ac:dyDescent="0.3">
      <c r="A89" s="4" t="s">
        <v>29</v>
      </c>
      <c r="B89" s="3">
        <v>8887326</v>
      </c>
      <c r="C89" s="3">
        <v>7800615</v>
      </c>
      <c r="E89" t="str">
        <f t="shared" si="37"/>
        <v>Puducherry (UT)</v>
      </c>
      <c r="F89">
        <f t="shared" si="38"/>
        <v>612511</v>
      </c>
      <c r="G89">
        <f t="shared" si="39"/>
        <v>635442</v>
      </c>
      <c r="H89">
        <f t="shared" ref="H89:H94" si="44">F89/$M$69</f>
        <v>5.7455826643171955E-2</v>
      </c>
      <c r="I89">
        <f t="shared" ref="I89:I94" si="45">G89/$N$69</f>
        <v>6.7868807180416879E-2</v>
      </c>
    </row>
    <row r="90" spans="1:9" x14ac:dyDescent="0.3">
      <c r="A90" s="4" t="s">
        <v>39</v>
      </c>
      <c r="B90" s="3">
        <v>612511</v>
      </c>
      <c r="C90" s="3">
        <v>635442</v>
      </c>
      <c r="E90" t="str">
        <f t="shared" si="37"/>
        <v>Chandigarh (UT)</v>
      </c>
      <c r="F90">
        <f t="shared" si="38"/>
        <v>580663</v>
      </c>
      <c r="G90">
        <f t="shared" si="39"/>
        <v>474787</v>
      </c>
      <c r="H90">
        <f t="shared" si="44"/>
        <v>5.4468364920963311E-2</v>
      </c>
      <c r="I90">
        <f t="shared" si="45"/>
        <v>5.0709942614382726E-2</v>
      </c>
    </row>
    <row r="91" spans="1:9" x14ac:dyDescent="0.3">
      <c r="A91" s="4" t="s">
        <v>41</v>
      </c>
      <c r="B91" s="3">
        <v>580663</v>
      </c>
      <c r="C91" s="3">
        <v>474787</v>
      </c>
      <c r="E91" t="str">
        <f t="shared" si="37"/>
        <v>Andaman and Nicobar Islands (UT)</v>
      </c>
      <c r="F91">
        <f t="shared" si="38"/>
        <v>202871</v>
      </c>
      <c r="G91">
        <f t="shared" si="39"/>
        <v>177710</v>
      </c>
      <c r="H91">
        <f t="shared" si="44"/>
        <v>1.9030059879621652E-2</v>
      </c>
      <c r="I91">
        <f t="shared" si="45"/>
        <v>1.8980435230960314E-2</v>
      </c>
    </row>
    <row r="92" spans="1:9" x14ac:dyDescent="0.3">
      <c r="A92" s="4" t="s">
        <v>43</v>
      </c>
      <c r="B92" s="3">
        <v>202871</v>
      </c>
      <c r="C92" s="3">
        <v>177710</v>
      </c>
      <c r="E92" t="str">
        <f t="shared" si="37"/>
        <v>Dadra and Nagar Haveli (UT)</v>
      </c>
      <c r="F92">
        <f t="shared" si="38"/>
        <v>193760</v>
      </c>
      <c r="G92">
        <f t="shared" si="39"/>
        <v>149949</v>
      </c>
      <c r="H92">
        <f t="shared" si="44"/>
        <v>1.8175413944208345E-2</v>
      </c>
      <c r="I92">
        <f t="shared" si="45"/>
        <v>1.6015403086192495E-2</v>
      </c>
    </row>
    <row r="93" spans="1:9" x14ac:dyDescent="0.3">
      <c r="A93" s="4" t="s">
        <v>44</v>
      </c>
      <c r="B93" s="3">
        <v>193760</v>
      </c>
      <c r="C93" s="3">
        <v>149949</v>
      </c>
      <c r="E93" t="str">
        <f t="shared" si="37"/>
        <v>Daman and Diu (UT)</v>
      </c>
      <c r="F93">
        <f t="shared" si="38"/>
        <v>150301</v>
      </c>
      <c r="G93">
        <f t="shared" si="39"/>
        <v>92946</v>
      </c>
      <c r="H93">
        <f t="shared" si="44"/>
        <v>1.4098796920047783E-2</v>
      </c>
      <c r="I93">
        <f t="shared" si="45"/>
        <v>9.9271596025931989E-3</v>
      </c>
    </row>
    <row r="94" spans="1:9" x14ac:dyDescent="0.3">
      <c r="A94" s="4" t="s">
        <v>45</v>
      </c>
      <c r="B94" s="3">
        <v>150301</v>
      </c>
      <c r="C94" s="3">
        <v>92946</v>
      </c>
      <c r="E94" t="str">
        <f t="shared" si="37"/>
        <v>Lakshadweep (UT)</v>
      </c>
      <c r="F94">
        <f t="shared" si="38"/>
        <v>33123</v>
      </c>
      <c r="G94">
        <f t="shared" si="39"/>
        <v>31350</v>
      </c>
      <c r="H94">
        <f t="shared" si="44"/>
        <v>3.1070614991433373E-3</v>
      </c>
      <c r="I94">
        <f t="shared" si="45"/>
        <v>3.3483576866276846E-3</v>
      </c>
    </row>
    <row r="95" spans="1:9" x14ac:dyDescent="0.3">
      <c r="A95" s="4" t="s">
        <v>46</v>
      </c>
      <c r="B95" s="3">
        <v>33123</v>
      </c>
      <c r="C95" s="3">
        <v>31350</v>
      </c>
    </row>
    <row r="96" spans="1:9" x14ac:dyDescent="0.3">
      <c r="A96" s="2" t="s">
        <v>68</v>
      </c>
      <c r="B96" s="3"/>
      <c r="C96" s="3"/>
      <c r="D96" t="str">
        <f>A96</f>
        <v>West</v>
      </c>
      <c r="E96" t="str">
        <f t="shared" si="37"/>
        <v>Maharashtra</v>
      </c>
      <c r="F96">
        <f t="shared" si="38"/>
        <v>58243056</v>
      </c>
      <c r="G96">
        <f t="shared" si="39"/>
        <v>54131277</v>
      </c>
      <c r="H96">
        <f>F96/$M$71</f>
        <v>0.37944146762187175</v>
      </c>
      <c r="I96">
        <f>G96/$N$71</f>
        <v>0.3795683386749556</v>
      </c>
    </row>
    <row r="97" spans="1:10" x14ac:dyDescent="0.3">
      <c r="A97" s="4" t="s">
        <v>12</v>
      </c>
      <c r="B97" s="3">
        <v>58243056</v>
      </c>
      <c r="C97" s="3">
        <v>54131277</v>
      </c>
      <c r="E97" t="str">
        <f t="shared" si="37"/>
        <v>Rajasthan</v>
      </c>
      <c r="F97">
        <f t="shared" si="38"/>
        <v>35550997</v>
      </c>
      <c r="G97">
        <f t="shared" si="39"/>
        <v>32997440</v>
      </c>
      <c r="H97">
        <f t="shared" ref="H97:H101" si="46">F97/$M$71</f>
        <v>0.2316073950017451</v>
      </c>
      <c r="I97">
        <f t="shared" ref="I97:I101" si="47">G97/$N$71</f>
        <v>0.23137794220754346</v>
      </c>
    </row>
    <row r="98" spans="1:10" x14ac:dyDescent="0.3">
      <c r="A98" s="4" t="s">
        <v>17</v>
      </c>
      <c r="B98" s="3">
        <v>35550997</v>
      </c>
      <c r="C98" s="3">
        <v>32997440</v>
      </c>
      <c r="E98" t="str">
        <f t="shared" si="37"/>
        <v>Gujarat</v>
      </c>
      <c r="F98">
        <f t="shared" si="38"/>
        <v>31491260</v>
      </c>
      <c r="G98">
        <f t="shared" si="39"/>
        <v>28948432</v>
      </c>
      <c r="H98">
        <f t="shared" si="46"/>
        <v>0.20515904782987254</v>
      </c>
      <c r="I98">
        <f t="shared" si="47"/>
        <v>0.20298631125005462</v>
      </c>
    </row>
    <row r="99" spans="1:10" x14ac:dyDescent="0.3">
      <c r="A99" s="4" t="s">
        <v>19</v>
      </c>
      <c r="B99" s="3">
        <v>31491260</v>
      </c>
      <c r="C99" s="3">
        <v>28948432</v>
      </c>
      <c r="E99" t="str">
        <f t="shared" si="37"/>
        <v>Punjab</v>
      </c>
      <c r="F99">
        <f t="shared" si="38"/>
        <v>14639465</v>
      </c>
      <c r="G99">
        <f t="shared" si="39"/>
        <v>13103873</v>
      </c>
      <c r="H99">
        <f t="shared" si="46"/>
        <v>9.5373087648406088E-2</v>
      </c>
      <c r="I99">
        <f t="shared" si="47"/>
        <v>9.1884314955614416E-2</v>
      </c>
    </row>
    <row r="100" spans="1:10" x14ac:dyDescent="0.3">
      <c r="A100" s="4" t="s">
        <v>26</v>
      </c>
      <c r="B100" s="3">
        <v>14639465</v>
      </c>
      <c r="C100" s="3">
        <v>13103873</v>
      </c>
      <c r="E100" t="str">
        <f t="shared" si="37"/>
        <v>Chhattisgarh</v>
      </c>
      <c r="F100">
        <f t="shared" si="38"/>
        <v>12832895</v>
      </c>
      <c r="G100">
        <f t="shared" si="39"/>
        <v>12712303</v>
      </c>
      <c r="H100">
        <f t="shared" si="46"/>
        <v>8.3603657621217187E-2</v>
      </c>
      <c r="I100">
        <f t="shared" si="47"/>
        <v>8.9138627386208785E-2</v>
      </c>
    </row>
    <row r="101" spans="1:10" x14ac:dyDescent="0.3">
      <c r="A101" s="4" t="s">
        <v>27</v>
      </c>
      <c r="B101" s="3">
        <v>12832895</v>
      </c>
      <c r="C101" s="3">
        <v>12712303</v>
      </c>
      <c r="E101" t="str">
        <f t="shared" si="37"/>
        <v>Goa</v>
      </c>
      <c r="F101">
        <f t="shared" si="38"/>
        <v>739140</v>
      </c>
      <c r="G101">
        <f t="shared" si="39"/>
        <v>719405</v>
      </c>
      <c r="H101">
        <f t="shared" si="46"/>
        <v>4.8153442768873646E-3</v>
      </c>
      <c r="I101">
        <f t="shared" si="47"/>
        <v>5.0444655256231333E-3</v>
      </c>
    </row>
    <row r="102" spans="1:10" x14ac:dyDescent="0.3">
      <c r="A102" s="4" t="s">
        <v>37</v>
      </c>
      <c r="B102" s="3">
        <v>739140</v>
      </c>
      <c r="C102" s="3">
        <v>719405</v>
      </c>
    </row>
    <row r="107" spans="1:10" x14ac:dyDescent="0.3">
      <c r="D107" t="s">
        <v>83</v>
      </c>
      <c r="H107" t="s">
        <v>84</v>
      </c>
    </row>
    <row r="108" spans="1:10" x14ac:dyDescent="0.3">
      <c r="D108" t="str">
        <f>D61</f>
        <v>Region</v>
      </c>
      <c r="E108" t="str">
        <f t="shared" ref="E108" si="48">E61</f>
        <v>States</v>
      </c>
      <c r="F108" t="s">
        <v>81</v>
      </c>
      <c r="H108" t="s">
        <v>57</v>
      </c>
      <c r="I108" t="s">
        <v>55</v>
      </c>
      <c r="J108" t="s">
        <v>82</v>
      </c>
    </row>
    <row r="109" spans="1:10" x14ac:dyDescent="0.3">
      <c r="D109" t="str">
        <f>D62</f>
        <v>East</v>
      </c>
      <c r="E109" t="str">
        <f t="shared" ref="E109" si="49">E62</f>
        <v>West Bengal</v>
      </c>
      <c r="F109">
        <f>H62</f>
        <v>0.38530879466466694</v>
      </c>
      <c r="H109" t="str">
        <f>D62</f>
        <v>East</v>
      </c>
      <c r="I109" t="str">
        <f>E62</f>
        <v>West Bengal</v>
      </c>
      <c r="J109">
        <f>I62</f>
        <v>0.38577436109474089</v>
      </c>
    </row>
    <row r="110" spans="1:10" x14ac:dyDescent="0.3">
      <c r="E110" t="str">
        <f t="shared" ref="E110" si="50">E63</f>
        <v>Odisha</v>
      </c>
      <c r="F110">
        <f>H63</f>
        <v>0.17460782840931494</v>
      </c>
      <c r="I110" t="str">
        <f t="shared" ref="I110:I113" si="51">E63</f>
        <v>Odisha</v>
      </c>
      <c r="J110">
        <f>I63</f>
        <v>0.1801215073617283</v>
      </c>
    </row>
    <row r="111" spans="1:10" x14ac:dyDescent="0.3">
      <c r="E111" t="str">
        <f t="shared" ref="E111" si="52">E64</f>
        <v>Jharkhand</v>
      </c>
      <c r="F111">
        <f>H64</f>
        <v>0.13936199241960598</v>
      </c>
      <c r="I111" t="str">
        <f t="shared" si="51"/>
        <v>Jharkhand</v>
      </c>
      <c r="J111">
        <f>I64</f>
        <v>0.13930965898419054</v>
      </c>
    </row>
    <row r="112" spans="1:10" x14ac:dyDescent="0.3">
      <c r="E112" t="str">
        <f t="shared" ref="E112" si="53">E65</f>
        <v>Assam</v>
      </c>
      <c r="F112">
        <f>H65</f>
        <v>0.13120562343575659</v>
      </c>
      <c r="I112" t="str">
        <f t="shared" si="51"/>
        <v>Assam</v>
      </c>
      <c r="J112">
        <f>I65</f>
        <v>0.13244138461376964</v>
      </c>
    </row>
    <row r="113" spans="4:10" x14ac:dyDescent="0.3">
      <c r="E113" t="str">
        <f t="shared" ref="E113" si="54">E66</f>
        <v>Haryana</v>
      </c>
      <c r="F113">
        <f>H66</f>
        <v>0.11108198621305031</v>
      </c>
      <c r="I113" t="str">
        <f t="shared" si="51"/>
        <v>Haryana</v>
      </c>
      <c r="J113">
        <f>I66</f>
        <v>0.10286308086722759</v>
      </c>
    </row>
    <row r="114" spans="4:10" x14ac:dyDescent="0.3">
      <c r="D114" t="s">
        <v>85</v>
      </c>
      <c r="E114">
        <f>SUM(F109:F112)</f>
        <v>0.83048423892934442</v>
      </c>
      <c r="F114">
        <f>1-E114</f>
        <v>0.16951576107065558</v>
      </c>
      <c r="H114" t="s">
        <v>85</v>
      </c>
      <c r="I114">
        <f>SUM(J109:J113)</f>
        <v>0.94050999292165705</v>
      </c>
      <c r="J114">
        <f>1-I114</f>
        <v>5.9490007078342955E-2</v>
      </c>
    </row>
  </sheetData>
  <pageMargins left="0.7" right="0.7" top="0.75" bottom="0.75" header="0.3" footer="0.3"/>
  <pageSetup paperSize="9"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3:AQ50"/>
  <sheetViews>
    <sheetView showGridLines="0" zoomScale="60" zoomScaleNormal="90" workbookViewId="0">
      <selection activeCell="G25" sqref="G25"/>
    </sheetView>
  </sheetViews>
  <sheetFormatPr defaultRowHeight="14.4" x14ac:dyDescent="0.3"/>
  <cols>
    <col min="1" max="1" width="31.21875" bestFit="1" customWidth="1"/>
    <col min="2" max="2" width="21" bestFit="1" customWidth="1"/>
    <col min="3" max="3" width="12.109375" bestFit="1" customWidth="1"/>
    <col min="4" max="4" width="14.109375" bestFit="1" customWidth="1"/>
    <col min="6" max="6" width="31.33203125" bestFit="1" customWidth="1"/>
    <col min="7" max="7" width="20.6640625" bestFit="1" customWidth="1"/>
    <col min="8" max="8" width="31.33203125" bestFit="1" customWidth="1"/>
    <col min="9" max="9" width="15.44140625" bestFit="1" customWidth="1"/>
    <col min="10" max="10" width="35" bestFit="1" customWidth="1"/>
    <col min="11" max="11" width="31.21875" bestFit="1" customWidth="1"/>
    <col min="12" max="12" width="21.21875" bestFit="1" customWidth="1"/>
    <col min="13" max="13" width="31.33203125" bestFit="1" customWidth="1"/>
    <col min="14" max="14" width="9.109375" bestFit="1" customWidth="1"/>
    <col min="17" max="17" width="31.21875" bestFit="1" customWidth="1"/>
    <col min="18" max="18" width="41" bestFit="1" customWidth="1"/>
    <col min="19" max="19" width="31.33203125" bestFit="1" customWidth="1"/>
    <col min="20" max="20" width="35" bestFit="1" customWidth="1"/>
    <col min="21" max="21" width="15.88671875" customWidth="1"/>
    <col min="22" max="22" width="31.21875" bestFit="1" customWidth="1"/>
    <col min="23" max="23" width="15.44140625" bestFit="1" customWidth="1"/>
    <col min="24" max="24" width="31.33203125" bestFit="1" customWidth="1"/>
    <col min="28" max="28" width="31.21875" bestFit="1" customWidth="1"/>
    <col min="29" max="29" width="21" bestFit="1" customWidth="1"/>
    <col min="30" max="30" width="31.33203125" bestFit="1" customWidth="1"/>
    <col min="31" max="31" width="10.5546875" bestFit="1" customWidth="1"/>
    <col min="33" max="33" width="31.21875" bestFit="1" customWidth="1"/>
    <col min="34" max="34" width="16" bestFit="1" customWidth="1"/>
    <col min="35" max="35" width="31.33203125" bestFit="1" customWidth="1"/>
    <col min="36" max="36" width="10" bestFit="1" customWidth="1"/>
    <col min="37" max="37" width="11" bestFit="1" customWidth="1"/>
    <col min="39" max="39" width="31.21875" bestFit="1" customWidth="1"/>
    <col min="40" max="40" width="16.77734375" bestFit="1" customWidth="1"/>
    <col min="41" max="41" width="13.5546875" customWidth="1"/>
    <col min="42" max="42" width="10.44140625" customWidth="1"/>
    <col min="43" max="43" width="12" bestFit="1" customWidth="1"/>
  </cols>
  <sheetData>
    <row r="3" spans="1:43" x14ac:dyDescent="0.3">
      <c r="A3" t="s">
        <v>48</v>
      </c>
      <c r="B3" t="s">
        <v>47</v>
      </c>
      <c r="C3" t="s">
        <v>49</v>
      </c>
      <c r="D3" t="s">
        <v>50</v>
      </c>
      <c r="F3" t="s">
        <v>55</v>
      </c>
      <c r="G3" t="s">
        <v>60</v>
      </c>
      <c r="H3" t="s">
        <v>3</v>
      </c>
      <c r="I3" t="s">
        <v>4</v>
      </c>
      <c r="K3" t="s">
        <v>48</v>
      </c>
      <c r="L3" t="s">
        <v>58</v>
      </c>
      <c r="M3" t="s">
        <v>55</v>
      </c>
      <c r="N3" t="s">
        <v>59</v>
      </c>
      <c r="Q3" t="s">
        <v>48</v>
      </c>
      <c r="R3" t="s">
        <v>51</v>
      </c>
      <c r="S3" t="s">
        <v>55</v>
      </c>
      <c r="T3" t="s">
        <v>62</v>
      </c>
      <c r="V3" t="s">
        <v>48</v>
      </c>
      <c r="W3" t="s">
        <v>52</v>
      </c>
      <c r="X3" t="s">
        <v>55</v>
      </c>
      <c r="Y3" t="s">
        <v>61</v>
      </c>
      <c r="AB3" t="s">
        <v>48</v>
      </c>
      <c r="AC3" t="s">
        <v>47</v>
      </c>
      <c r="AD3" t="s">
        <v>55</v>
      </c>
      <c r="AE3" t="s">
        <v>56</v>
      </c>
      <c r="AG3" t="s">
        <v>48</v>
      </c>
      <c r="AH3" t="s">
        <v>53</v>
      </c>
      <c r="AI3" t="s">
        <v>55</v>
      </c>
      <c r="AJ3" t="s">
        <v>63</v>
      </c>
      <c r="AK3" t="s">
        <v>64</v>
      </c>
      <c r="AM3" t="s">
        <v>48</v>
      </c>
      <c r="AN3" t="s">
        <v>54</v>
      </c>
      <c r="AO3" t="s">
        <v>55</v>
      </c>
      <c r="AP3" t="s">
        <v>65</v>
      </c>
      <c r="AQ3" t="s">
        <v>64</v>
      </c>
    </row>
    <row r="4" spans="1:43" x14ac:dyDescent="0.3">
      <c r="A4" t="s">
        <v>11</v>
      </c>
      <c r="B4">
        <v>199812341</v>
      </c>
      <c r="C4">
        <v>104480510</v>
      </c>
      <c r="D4">
        <v>95331831</v>
      </c>
      <c r="F4" t="str">
        <f t="shared" ref="F4:F39" si="0">A4</f>
        <v>Uttar Pradesh</v>
      </c>
      <c r="G4">
        <f t="shared" ref="G4:G39" si="1">B4</f>
        <v>199812341</v>
      </c>
      <c r="H4">
        <f t="shared" ref="H4:H39" si="2">C4</f>
        <v>104480510</v>
      </c>
      <c r="I4">
        <f t="shared" ref="I4:I39" si="3">D4</f>
        <v>95331831</v>
      </c>
      <c r="K4" t="s">
        <v>43</v>
      </c>
      <c r="L4">
        <v>8249</v>
      </c>
      <c r="M4" t="str">
        <f>K4</f>
        <v>Andaman and Nicobar Islands (UT)</v>
      </c>
      <c r="N4">
        <f>L4</f>
        <v>8249</v>
      </c>
      <c r="Q4" t="s">
        <v>11</v>
      </c>
      <c r="R4">
        <v>9148679</v>
      </c>
      <c r="S4" t="str">
        <f>Q4</f>
        <v>Uttar Pradesh</v>
      </c>
      <c r="T4">
        <f>R4</f>
        <v>9148679</v>
      </c>
      <c r="V4" t="s">
        <v>23</v>
      </c>
      <c r="W4">
        <v>1084</v>
      </c>
      <c r="X4" t="str">
        <f>V4</f>
        <v>Kerala</v>
      </c>
      <c r="Y4">
        <f>W4</f>
        <v>1084</v>
      </c>
      <c r="AB4" t="s">
        <v>11</v>
      </c>
      <c r="AC4">
        <v>199812341</v>
      </c>
      <c r="AD4" t="str">
        <f>AB4</f>
        <v>Uttar Pradesh</v>
      </c>
      <c r="AE4">
        <f>AC4</f>
        <v>199812341</v>
      </c>
      <c r="AG4" t="s">
        <v>11</v>
      </c>
      <c r="AH4">
        <v>155111022</v>
      </c>
      <c r="AI4" t="str">
        <f>AG4</f>
        <v>Uttar Pradesh</v>
      </c>
      <c r="AJ4">
        <f>AH4</f>
        <v>155111022</v>
      </c>
      <c r="AK4">
        <f>AJ4/$AJ$40*100</f>
        <v>18.606500611206503</v>
      </c>
      <c r="AM4" t="s">
        <v>12</v>
      </c>
      <c r="AN4">
        <v>50827531</v>
      </c>
      <c r="AO4" t="str">
        <f>AM4</f>
        <v>Maharashtra</v>
      </c>
      <c r="AP4">
        <f>AN4</f>
        <v>50827531</v>
      </c>
      <c r="AQ4">
        <f>AP4/$AP$40*100</f>
        <v>13.606876460752277</v>
      </c>
    </row>
    <row r="5" spans="1:43" x14ac:dyDescent="0.3">
      <c r="A5" t="s">
        <v>12</v>
      </c>
      <c r="B5">
        <v>112374333</v>
      </c>
      <c r="C5">
        <v>58243056</v>
      </c>
      <c r="D5">
        <v>54131277</v>
      </c>
      <c r="F5" t="str">
        <f t="shared" si="0"/>
        <v>Maharashtra</v>
      </c>
      <c r="G5">
        <f t="shared" si="1"/>
        <v>112374333</v>
      </c>
      <c r="H5">
        <f t="shared" si="2"/>
        <v>58243056</v>
      </c>
      <c r="I5">
        <f t="shared" si="3"/>
        <v>54131277</v>
      </c>
      <c r="K5" t="s">
        <v>20</v>
      </c>
      <c r="L5">
        <v>160205</v>
      </c>
      <c r="M5" t="str">
        <f t="shared" ref="M5:M39" si="4">K5</f>
        <v>Andhra Pradesh</v>
      </c>
      <c r="N5">
        <f t="shared" ref="N5:N39" si="5">L5</f>
        <v>160205</v>
      </c>
      <c r="Q5" t="s">
        <v>13</v>
      </c>
      <c r="R5">
        <v>4456862</v>
      </c>
      <c r="S5" t="str">
        <f t="shared" ref="S5:S39" si="6">Q5</f>
        <v>Bihar</v>
      </c>
      <c r="T5">
        <f t="shared" ref="T5:T39" si="7">R5</f>
        <v>4456862</v>
      </c>
      <c r="V5" t="s">
        <v>39</v>
      </c>
      <c r="W5">
        <v>1037</v>
      </c>
      <c r="X5" t="str">
        <f t="shared" ref="X5:X39" si="8">V5</f>
        <v>Puducherry (UT)</v>
      </c>
      <c r="Y5">
        <f t="shared" ref="Y5:Y39" si="9">W5</f>
        <v>1037</v>
      </c>
      <c r="AB5" t="s">
        <v>12</v>
      </c>
      <c r="AC5">
        <v>112374333</v>
      </c>
      <c r="AD5" t="str">
        <f t="shared" ref="AD5:AD39" si="10">AB5</f>
        <v>Maharashtra</v>
      </c>
      <c r="AE5">
        <f t="shared" ref="AE5:AE39" si="11">AC5</f>
        <v>112374333</v>
      </c>
      <c r="AG5" t="s">
        <v>13</v>
      </c>
      <c r="AH5">
        <v>92075028</v>
      </c>
      <c r="AI5" t="str">
        <f t="shared" ref="AI5:AI39" si="12">AG5</f>
        <v>Bihar</v>
      </c>
      <c r="AJ5">
        <f t="shared" ref="AJ5:AJ39" si="13">AH5</f>
        <v>92075028</v>
      </c>
      <c r="AK5">
        <f t="shared" ref="AK5:AK39" si="14">AJ5/$AJ$40*100</f>
        <v>11.044953754213907</v>
      </c>
      <c r="AM5" t="s">
        <v>11</v>
      </c>
      <c r="AN5">
        <v>44470455</v>
      </c>
      <c r="AO5" t="str">
        <f t="shared" ref="AO5:AO39" si="15">AM5</f>
        <v>Uttar Pradesh</v>
      </c>
      <c r="AP5">
        <f t="shared" ref="AP5:AP39" si="16">AN5</f>
        <v>44470455</v>
      </c>
      <c r="AQ5">
        <f t="shared" ref="AQ5:AQ39" si="17">AP5/$AP$40*100</f>
        <v>11.90504388927417</v>
      </c>
    </row>
    <row r="6" spans="1:43" x14ac:dyDescent="0.3">
      <c r="A6" t="s">
        <v>13</v>
      </c>
      <c r="B6">
        <v>104099452</v>
      </c>
      <c r="C6">
        <v>54278157</v>
      </c>
      <c r="D6">
        <v>49821295</v>
      </c>
      <c r="F6" t="str">
        <f t="shared" si="0"/>
        <v>Bihar</v>
      </c>
      <c r="G6">
        <f t="shared" si="1"/>
        <v>104099452</v>
      </c>
      <c r="H6">
        <f t="shared" si="2"/>
        <v>54278157</v>
      </c>
      <c r="I6">
        <f t="shared" si="3"/>
        <v>49821295</v>
      </c>
      <c r="K6" t="s">
        <v>38</v>
      </c>
      <c r="L6">
        <v>83743</v>
      </c>
      <c r="M6" t="str">
        <f t="shared" si="4"/>
        <v>Arunachal Pradesh</v>
      </c>
      <c r="N6">
        <f t="shared" si="5"/>
        <v>83743</v>
      </c>
      <c r="Q6" t="s">
        <v>12</v>
      </c>
      <c r="R6">
        <v>4111779</v>
      </c>
      <c r="S6" t="str">
        <f t="shared" si="6"/>
        <v>Maharashtra</v>
      </c>
      <c r="T6">
        <f t="shared" si="7"/>
        <v>4111779</v>
      </c>
      <c r="V6" t="s">
        <v>16</v>
      </c>
      <c r="W6">
        <v>996</v>
      </c>
      <c r="X6" t="str">
        <f t="shared" si="8"/>
        <v>Tamil Nadu</v>
      </c>
      <c r="Y6">
        <f t="shared" si="9"/>
        <v>996</v>
      </c>
      <c r="AB6" t="s">
        <v>13</v>
      </c>
      <c r="AC6">
        <v>104099452</v>
      </c>
      <c r="AD6" t="str">
        <f t="shared" si="10"/>
        <v>Bihar</v>
      </c>
      <c r="AE6">
        <f t="shared" si="11"/>
        <v>104099452</v>
      </c>
      <c r="AG6" t="s">
        <v>14</v>
      </c>
      <c r="AH6">
        <v>62213676</v>
      </c>
      <c r="AI6" t="str">
        <f t="shared" si="12"/>
        <v>West Bengal</v>
      </c>
      <c r="AJ6">
        <f t="shared" si="13"/>
        <v>62213676</v>
      </c>
      <c r="AK6">
        <f t="shared" si="14"/>
        <v>7.4629048638426436</v>
      </c>
      <c r="AM6" t="s">
        <v>16</v>
      </c>
      <c r="AN6">
        <v>34949729</v>
      </c>
      <c r="AO6" t="str">
        <f t="shared" si="15"/>
        <v>Tamil Nadu</v>
      </c>
      <c r="AP6">
        <f t="shared" si="16"/>
        <v>34949729</v>
      </c>
      <c r="AQ6">
        <f t="shared" si="17"/>
        <v>9.3562806511252976</v>
      </c>
    </row>
    <row r="7" spans="1:43" x14ac:dyDescent="0.3">
      <c r="A7" t="s">
        <v>14</v>
      </c>
      <c r="B7">
        <v>91276115</v>
      </c>
      <c r="C7">
        <v>46809027</v>
      </c>
      <c r="D7">
        <v>44467088</v>
      </c>
      <c r="F7" t="str">
        <f t="shared" si="0"/>
        <v>West Bengal</v>
      </c>
      <c r="G7">
        <f t="shared" si="1"/>
        <v>91276115</v>
      </c>
      <c r="H7">
        <f t="shared" si="2"/>
        <v>46809027</v>
      </c>
      <c r="I7">
        <f t="shared" si="3"/>
        <v>44467088</v>
      </c>
      <c r="K7" t="s">
        <v>25</v>
      </c>
      <c r="L7">
        <v>78438</v>
      </c>
      <c r="M7" t="str">
        <f t="shared" si="4"/>
        <v>Assam</v>
      </c>
      <c r="N7">
        <f t="shared" si="5"/>
        <v>78438</v>
      </c>
      <c r="Q7" t="s">
        <v>15</v>
      </c>
      <c r="R7">
        <v>2597803</v>
      </c>
      <c r="S7" t="str">
        <f t="shared" si="6"/>
        <v>Madhya Pradesh</v>
      </c>
      <c r="T7">
        <f t="shared" si="7"/>
        <v>2597803</v>
      </c>
      <c r="V7" t="s">
        <v>20</v>
      </c>
      <c r="W7">
        <v>996</v>
      </c>
      <c r="X7" t="str">
        <f t="shared" si="8"/>
        <v>Andhra Pradesh</v>
      </c>
      <c r="Y7">
        <f t="shared" si="9"/>
        <v>996</v>
      </c>
      <c r="AB7" t="s">
        <v>14</v>
      </c>
      <c r="AC7">
        <v>91276115</v>
      </c>
      <c r="AD7" t="str">
        <f t="shared" si="10"/>
        <v>West Bengal</v>
      </c>
      <c r="AE7">
        <f t="shared" si="11"/>
        <v>91276115</v>
      </c>
      <c r="AG7" t="s">
        <v>12</v>
      </c>
      <c r="AH7">
        <v>61545441</v>
      </c>
      <c r="AI7" t="str">
        <f t="shared" si="12"/>
        <v>Maharashtra</v>
      </c>
      <c r="AJ7">
        <f t="shared" si="13"/>
        <v>61545441</v>
      </c>
      <c r="AK7">
        <f t="shared" si="14"/>
        <v>7.3827460538779368</v>
      </c>
      <c r="AM7" t="s">
        <v>14</v>
      </c>
      <c r="AN7">
        <v>29134060</v>
      </c>
      <c r="AO7" t="str">
        <f t="shared" si="15"/>
        <v>West Bengal</v>
      </c>
      <c r="AP7">
        <f t="shared" si="16"/>
        <v>29134060</v>
      </c>
      <c r="AQ7">
        <f t="shared" si="17"/>
        <v>7.7993864234747994</v>
      </c>
    </row>
    <row r="8" spans="1:43" x14ac:dyDescent="0.3">
      <c r="A8" t="s">
        <v>15</v>
      </c>
      <c r="B8">
        <v>72626809</v>
      </c>
      <c r="C8">
        <v>37612306</v>
      </c>
      <c r="D8">
        <v>35014503</v>
      </c>
      <c r="F8" t="str">
        <f t="shared" si="0"/>
        <v>Madhya Pradesh</v>
      </c>
      <c r="G8">
        <f t="shared" si="1"/>
        <v>72626809</v>
      </c>
      <c r="H8">
        <f t="shared" si="2"/>
        <v>37612306</v>
      </c>
      <c r="I8">
        <f t="shared" si="3"/>
        <v>35014503</v>
      </c>
      <c r="K8" t="s">
        <v>13</v>
      </c>
      <c r="L8">
        <v>94163</v>
      </c>
      <c r="M8" t="str">
        <f t="shared" si="4"/>
        <v>Bihar</v>
      </c>
      <c r="N8">
        <f t="shared" si="5"/>
        <v>94163</v>
      </c>
      <c r="Q8" t="s">
        <v>17</v>
      </c>
      <c r="R8">
        <v>2553557</v>
      </c>
      <c r="S8" t="str">
        <f t="shared" si="6"/>
        <v>Rajasthan</v>
      </c>
      <c r="T8">
        <f t="shared" si="7"/>
        <v>2553557</v>
      </c>
      <c r="V8" t="s">
        <v>27</v>
      </c>
      <c r="W8">
        <v>991</v>
      </c>
      <c r="X8" t="str">
        <f t="shared" si="8"/>
        <v>Chhattisgarh</v>
      </c>
      <c r="Y8">
        <f t="shared" si="9"/>
        <v>991</v>
      </c>
      <c r="AB8" t="s">
        <v>15</v>
      </c>
      <c r="AC8">
        <v>72626809</v>
      </c>
      <c r="AD8" t="str">
        <f t="shared" si="10"/>
        <v>Madhya Pradesh</v>
      </c>
      <c r="AE8">
        <f t="shared" si="11"/>
        <v>72626809</v>
      </c>
      <c r="AG8" t="s">
        <v>15</v>
      </c>
      <c r="AH8">
        <v>52537899</v>
      </c>
      <c r="AI8" t="str">
        <f t="shared" si="12"/>
        <v>Madhya Pradesh</v>
      </c>
      <c r="AJ8">
        <f t="shared" si="13"/>
        <v>52537899</v>
      </c>
      <c r="AK8">
        <f t="shared" si="14"/>
        <v>6.3022371798633721</v>
      </c>
      <c r="AM8" t="s">
        <v>19</v>
      </c>
      <c r="AN8">
        <v>25712811</v>
      </c>
      <c r="AO8" t="str">
        <f t="shared" si="15"/>
        <v>Gujarat</v>
      </c>
      <c r="AP8">
        <f t="shared" si="16"/>
        <v>25712811</v>
      </c>
      <c r="AQ8">
        <f t="shared" si="17"/>
        <v>6.883494748853181</v>
      </c>
    </row>
    <row r="9" spans="1:43" x14ac:dyDescent="0.3">
      <c r="A9" t="s">
        <v>16</v>
      </c>
      <c r="B9">
        <v>72147030</v>
      </c>
      <c r="C9">
        <v>36137975</v>
      </c>
      <c r="D9">
        <v>36009055</v>
      </c>
      <c r="F9" t="str">
        <f t="shared" si="0"/>
        <v>Tamil Nadu</v>
      </c>
      <c r="G9">
        <f t="shared" si="1"/>
        <v>72147030</v>
      </c>
      <c r="H9">
        <f t="shared" si="2"/>
        <v>36137975</v>
      </c>
      <c r="I9">
        <f t="shared" si="3"/>
        <v>36009055</v>
      </c>
      <c r="K9" t="s">
        <v>41</v>
      </c>
      <c r="L9">
        <v>114</v>
      </c>
      <c r="M9" t="str">
        <f t="shared" si="4"/>
        <v>Chandigarh (UT)</v>
      </c>
      <c r="N9">
        <f t="shared" si="5"/>
        <v>114</v>
      </c>
      <c r="Q9" t="s">
        <v>19</v>
      </c>
      <c r="R9">
        <v>2542828</v>
      </c>
      <c r="S9" t="str">
        <f t="shared" si="6"/>
        <v>Gujarat</v>
      </c>
      <c r="T9">
        <f t="shared" si="7"/>
        <v>2542828</v>
      </c>
      <c r="V9" t="s">
        <v>34</v>
      </c>
      <c r="W9">
        <v>989</v>
      </c>
      <c r="X9" t="str">
        <f t="shared" si="8"/>
        <v>Meghalaya</v>
      </c>
      <c r="Y9">
        <f t="shared" si="9"/>
        <v>989</v>
      </c>
      <c r="AB9" t="s">
        <v>16</v>
      </c>
      <c r="AC9">
        <v>72147030</v>
      </c>
      <c r="AD9" t="str">
        <f t="shared" si="10"/>
        <v>Tamil Nadu</v>
      </c>
      <c r="AE9">
        <f t="shared" si="11"/>
        <v>72147030</v>
      </c>
      <c r="AG9" t="s">
        <v>17</v>
      </c>
      <c r="AH9">
        <v>51540236</v>
      </c>
      <c r="AI9" t="str">
        <f t="shared" si="12"/>
        <v>Rajasthan</v>
      </c>
      <c r="AJ9">
        <f t="shared" si="13"/>
        <v>51540236</v>
      </c>
      <c r="AK9">
        <f t="shared" si="14"/>
        <v>6.1825614986646622</v>
      </c>
      <c r="AM9" t="s">
        <v>18</v>
      </c>
      <c r="AN9">
        <v>23578175</v>
      </c>
      <c r="AO9" t="str">
        <f t="shared" si="15"/>
        <v>Karnataka</v>
      </c>
      <c r="AP9">
        <f t="shared" si="16"/>
        <v>23578175</v>
      </c>
      <c r="AQ9">
        <f t="shared" si="17"/>
        <v>6.3120381431668955</v>
      </c>
    </row>
    <row r="10" spans="1:43" x14ac:dyDescent="0.3">
      <c r="A10" t="s">
        <v>17</v>
      </c>
      <c r="B10">
        <v>68548437</v>
      </c>
      <c r="C10">
        <v>35550997</v>
      </c>
      <c r="D10">
        <v>32997440</v>
      </c>
      <c r="F10" t="str">
        <f t="shared" si="0"/>
        <v>Rajasthan</v>
      </c>
      <c r="G10">
        <f t="shared" si="1"/>
        <v>68548437</v>
      </c>
      <c r="H10">
        <f t="shared" si="2"/>
        <v>35550997</v>
      </c>
      <c r="I10">
        <f t="shared" si="3"/>
        <v>32997440</v>
      </c>
      <c r="K10" t="s">
        <v>27</v>
      </c>
      <c r="L10">
        <v>135191</v>
      </c>
      <c r="M10" t="str">
        <f t="shared" si="4"/>
        <v>Chhattisgarh</v>
      </c>
      <c r="N10">
        <f t="shared" si="5"/>
        <v>135191</v>
      </c>
      <c r="Q10" t="s">
        <v>14</v>
      </c>
      <c r="R10">
        <v>2341939</v>
      </c>
      <c r="S10" t="str">
        <f t="shared" si="6"/>
        <v>West Bengal</v>
      </c>
      <c r="T10">
        <f t="shared" si="7"/>
        <v>2341939</v>
      </c>
      <c r="V10" t="s">
        <v>22</v>
      </c>
      <c r="W10">
        <v>988</v>
      </c>
      <c r="X10" t="str">
        <f t="shared" si="8"/>
        <v>Telangana</v>
      </c>
      <c r="Y10">
        <f t="shared" si="9"/>
        <v>988</v>
      </c>
      <c r="AB10" t="s">
        <v>17</v>
      </c>
      <c r="AC10">
        <v>68548437</v>
      </c>
      <c r="AD10" t="str">
        <f t="shared" si="10"/>
        <v>Rajasthan</v>
      </c>
      <c r="AE10">
        <f t="shared" si="11"/>
        <v>68548437</v>
      </c>
      <c r="AG10" t="s">
        <v>18</v>
      </c>
      <c r="AH10">
        <v>37552529</v>
      </c>
      <c r="AI10" t="str">
        <f t="shared" si="12"/>
        <v>Karnataka</v>
      </c>
      <c r="AJ10">
        <f t="shared" si="13"/>
        <v>37552529</v>
      </c>
      <c r="AK10">
        <f t="shared" si="14"/>
        <v>4.5046518602066197</v>
      </c>
      <c r="AM10" t="s">
        <v>15</v>
      </c>
      <c r="AN10">
        <v>20059666</v>
      </c>
      <c r="AO10" t="str">
        <f t="shared" si="15"/>
        <v>Madhya Pradesh</v>
      </c>
      <c r="AP10">
        <f t="shared" si="16"/>
        <v>20059666</v>
      </c>
      <c r="AQ10">
        <f t="shared" si="17"/>
        <v>5.3701093036754592</v>
      </c>
    </row>
    <row r="11" spans="1:43" x14ac:dyDescent="0.3">
      <c r="A11" t="s">
        <v>18</v>
      </c>
      <c r="B11">
        <v>61095297</v>
      </c>
      <c r="C11">
        <v>30966657</v>
      </c>
      <c r="D11">
        <v>30128640</v>
      </c>
      <c r="F11" t="str">
        <f t="shared" si="0"/>
        <v>Karnataka</v>
      </c>
      <c r="G11">
        <f t="shared" si="1"/>
        <v>61095297</v>
      </c>
      <c r="H11">
        <f t="shared" si="2"/>
        <v>30966657</v>
      </c>
      <c r="I11">
        <f t="shared" si="3"/>
        <v>30128640</v>
      </c>
      <c r="K11" t="s">
        <v>44</v>
      </c>
      <c r="L11">
        <v>491</v>
      </c>
      <c r="M11" t="str">
        <f t="shared" si="4"/>
        <v>Dadra and Nagar Haveli (UT)</v>
      </c>
      <c r="N11">
        <f t="shared" si="5"/>
        <v>491</v>
      </c>
      <c r="Q11" t="s">
        <v>28</v>
      </c>
      <c r="R11">
        <v>1638006</v>
      </c>
      <c r="S11" t="str">
        <f t="shared" si="6"/>
        <v>Haryana</v>
      </c>
      <c r="T11">
        <f t="shared" si="7"/>
        <v>1638006</v>
      </c>
      <c r="V11" t="s">
        <v>35</v>
      </c>
      <c r="W11">
        <v>985</v>
      </c>
      <c r="X11" t="str">
        <f t="shared" si="8"/>
        <v>Manipur</v>
      </c>
      <c r="Y11">
        <f t="shared" si="9"/>
        <v>985</v>
      </c>
      <c r="AB11" t="s">
        <v>18</v>
      </c>
      <c r="AC11">
        <v>61095297</v>
      </c>
      <c r="AD11" t="str">
        <f t="shared" si="10"/>
        <v>Karnataka</v>
      </c>
      <c r="AE11">
        <f t="shared" si="11"/>
        <v>61095297</v>
      </c>
      <c r="AG11" t="s">
        <v>16</v>
      </c>
      <c r="AH11">
        <v>37189229</v>
      </c>
      <c r="AI11" t="str">
        <f t="shared" si="12"/>
        <v>Tamil Nadu</v>
      </c>
      <c r="AJ11">
        <f t="shared" si="13"/>
        <v>37189229</v>
      </c>
      <c r="AK11">
        <f t="shared" si="14"/>
        <v>4.461071838716907</v>
      </c>
      <c r="AM11" t="s">
        <v>17</v>
      </c>
      <c r="AN11">
        <v>17080776</v>
      </c>
      <c r="AO11" t="str">
        <f t="shared" si="15"/>
        <v>Rajasthan</v>
      </c>
      <c r="AP11">
        <f t="shared" si="16"/>
        <v>17080776</v>
      </c>
      <c r="AQ11">
        <f t="shared" si="17"/>
        <v>4.5726401482256227</v>
      </c>
    </row>
    <row r="12" spans="1:43" x14ac:dyDescent="0.3">
      <c r="A12" t="s">
        <v>19</v>
      </c>
      <c r="B12">
        <v>60439692</v>
      </c>
      <c r="C12">
        <v>31491260</v>
      </c>
      <c r="D12">
        <v>28948432</v>
      </c>
      <c r="F12" t="str">
        <f t="shared" si="0"/>
        <v>Gujarat</v>
      </c>
      <c r="G12">
        <f t="shared" si="1"/>
        <v>60439692</v>
      </c>
      <c r="H12">
        <f t="shared" si="2"/>
        <v>31491260</v>
      </c>
      <c r="I12">
        <f t="shared" si="3"/>
        <v>28948432</v>
      </c>
      <c r="K12" t="s">
        <v>45</v>
      </c>
      <c r="L12">
        <v>112</v>
      </c>
      <c r="M12" t="str">
        <f t="shared" si="4"/>
        <v>Daman and Diu (UT)</v>
      </c>
      <c r="N12">
        <f t="shared" si="5"/>
        <v>112</v>
      </c>
      <c r="Q12" t="s">
        <v>26</v>
      </c>
      <c r="R12">
        <v>1535592</v>
      </c>
      <c r="S12" t="str">
        <f t="shared" si="6"/>
        <v>Punjab</v>
      </c>
      <c r="T12">
        <f t="shared" si="7"/>
        <v>1535592</v>
      </c>
      <c r="V12" t="s">
        <v>21</v>
      </c>
      <c r="W12">
        <v>979</v>
      </c>
      <c r="X12" t="str">
        <f t="shared" si="8"/>
        <v>Odisha</v>
      </c>
      <c r="Y12">
        <f t="shared" si="9"/>
        <v>979</v>
      </c>
      <c r="AB12" t="s">
        <v>19</v>
      </c>
      <c r="AC12">
        <v>60439692</v>
      </c>
      <c r="AD12" t="str">
        <f t="shared" si="10"/>
        <v>Gujarat</v>
      </c>
      <c r="AE12">
        <f t="shared" si="11"/>
        <v>60439692</v>
      </c>
      <c r="AG12" t="s">
        <v>21</v>
      </c>
      <c r="AH12">
        <v>34951234</v>
      </c>
      <c r="AI12" t="str">
        <f t="shared" si="12"/>
        <v>Odisha</v>
      </c>
      <c r="AJ12">
        <f t="shared" si="13"/>
        <v>34951234</v>
      </c>
      <c r="AK12">
        <f t="shared" si="14"/>
        <v>4.1926108692870416</v>
      </c>
      <c r="AM12" t="s">
        <v>23</v>
      </c>
      <c r="AN12">
        <v>15932171</v>
      </c>
      <c r="AO12" t="str">
        <f t="shared" si="15"/>
        <v>Kerala</v>
      </c>
      <c r="AP12">
        <f t="shared" si="16"/>
        <v>15932171</v>
      </c>
      <c r="AQ12">
        <f t="shared" si="17"/>
        <v>4.2651507614757067</v>
      </c>
    </row>
    <row r="13" spans="1:43" x14ac:dyDescent="0.3">
      <c r="A13" t="s">
        <v>20</v>
      </c>
      <c r="B13">
        <v>49386799</v>
      </c>
      <c r="C13">
        <v>24738068</v>
      </c>
      <c r="D13">
        <v>24648731</v>
      </c>
      <c r="F13" t="str">
        <f t="shared" si="0"/>
        <v>Andhra Pradesh</v>
      </c>
      <c r="G13">
        <f t="shared" si="1"/>
        <v>49386799</v>
      </c>
      <c r="H13">
        <f t="shared" si="2"/>
        <v>24738068</v>
      </c>
      <c r="I13">
        <f t="shared" si="3"/>
        <v>24648731</v>
      </c>
      <c r="K13" t="s">
        <v>29</v>
      </c>
      <c r="L13">
        <v>1484</v>
      </c>
      <c r="M13" t="str">
        <f t="shared" si="4"/>
        <v>Delhi (UT)</v>
      </c>
      <c r="N13">
        <f t="shared" si="5"/>
        <v>1484</v>
      </c>
      <c r="Q13" t="s">
        <v>23</v>
      </c>
      <c r="R13">
        <v>1351237</v>
      </c>
      <c r="S13" t="str">
        <f t="shared" si="6"/>
        <v>Kerala</v>
      </c>
      <c r="T13">
        <f t="shared" si="7"/>
        <v>1351237</v>
      </c>
      <c r="V13" t="s">
        <v>40</v>
      </c>
      <c r="W13">
        <v>976</v>
      </c>
      <c r="X13" t="str">
        <f t="shared" si="8"/>
        <v>Mizoram</v>
      </c>
      <c r="Y13">
        <f t="shared" si="9"/>
        <v>976</v>
      </c>
      <c r="AB13" t="s">
        <v>20</v>
      </c>
      <c r="AC13">
        <v>49386799</v>
      </c>
      <c r="AD13" t="str">
        <f t="shared" si="10"/>
        <v>Andhra Pradesh</v>
      </c>
      <c r="AE13">
        <f t="shared" si="11"/>
        <v>49386799</v>
      </c>
      <c r="AG13" t="s">
        <v>20</v>
      </c>
      <c r="AH13">
        <v>34776389</v>
      </c>
      <c r="AI13" t="str">
        <f t="shared" si="12"/>
        <v>Andhra Pradesh</v>
      </c>
      <c r="AJ13">
        <f t="shared" si="13"/>
        <v>34776389</v>
      </c>
      <c r="AK13">
        <f t="shared" si="14"/>
        <v>4.1716371592474912</v>
      </c>
      <c r="AM13" t="s">
        <v>20</v>
      </c>
      <c r="AN13">
        <v>14610410</v>
      </c>
      <c r="AO13" t="str">
        <f t="shared" si="15"/>
        <v>Andhra Pradesh</v>
      </c>
      <c r="AP13">
        <f t="shared" si="16"/>
        <v>14610410</v>
      </c>
      <c r="AQ13">
        <f t="shared" si="17"/>
        <v>3.9113063333912423</v>
      </c>
    </row>
    <row r="14" spans="1:43" x14ac:dyDescent="0.3">
      <c r="A14" t="s">
        <v>21</v>
      </c>
      <c r="B14">
        <v>41974218</v>
      </c>
      <c r="C14">
        <v>21212136</v>
      </c>
      <c r="D14">
        <v>20762082</v>
      </c>
      <c r="F14" t="str">
        <f t="shared" si="0"/>
        <v>Odisha</v>
      </c>
      <c r="G14">
        <f t="shared" si="1"/>
        <v>41974218</v>
      </c>
      <c r="H14">
        <f t="shared" si="2"/>
        <v>21212136</v>
      </c>
      <c r="I14">
        <f t="shared" si="3"/>
        <v>20762082</v>
      </c>
      <c r="K14" t="s">
        <v>37</v>
      </c>
      <c r="L14">
        <v>3702</v>
      </c>
      <c r="M14" t="str">
        <f t="shared" si="4"/>
        <v>Goa</v>
      </c>
      <c r="N14">
        <f t="shared" si="5"/>
        <v>3702</v>
      </c>
      <c r="Q14" t="s">
        <v>29</v>
      </c>
      <c r="R14">
        <v>1086711</v>
      </c>
      <c r="S14" t="str">
        <f t="shared" si="6"/>
        <v>Delhi (UT)</v>
      </c>
      <c r="T14">
        <f t="shared" si="7"/>
        <v>1086711</v>
      </c>
      <c r="V14" t="s">
        <v>18</v>
      </c>
      <c r="W14">
        <v>973</v>
      </c>
      <c r="X14" t="str">
        <f t="shared" si="8"/>
        <v>Karnataka</v>
      </c>
      <c r="Y14">
        <f t="shared" si="9"/>
        <v>973</v>
      </c>
      <c r="AB14" t="s">
        <v>21</v>
      </c>
      <c r="AC14">
        <v>41974218</v>
      </c>
      <c r="AD14" t="str">
        <f t="shared" si="10"/>
        <v>Odisha</v>
      </c>
      <c r="AE14">
        <f t="shared" si="11"/>
        <v>41974218</v>
      </c>
      <c r="AG14" t="s">
        <v>19</v>
      </c>
      <c r="AH14">
        <v>34670817</v>
      </c>
      <c r="AI14" t="str">
        <f t="shared" si="12"/>
        <v>Gujarat</v>
      </c>
      <c r="AJ14">
        <f t="shared" si="13"/>
        <v>34670817</v>
      </c>
      <c r="AK14">
        <f t="shared" si="14"/>
        <v>4.1589731624715149</v>
      </c>
      <c r="AM14" t="s">
        <v>22</v>
      </c>
      <c r="AN14">
        <v>13608665</v>
      </c>
      <c r="AO14" t="str">
        <f t="shared" si="15"/>
        <v>Telangana</v>
      </c>
      <c r="AP14">
        <f t="shared" si="16"/>
        <v>13608665</v>
      </c>
      <c r="AQ14">
        <f t="shared" si="17"/>
        <v>3.6431323695570299</v>
      </c>
    </row>
    <row r="15" spans="1:43" x14ac:dyDescent="0.3">
      <c r="A15" t="s">
        <v>22</v>
      </c>
      <c r="B15">
        <v>35193978</v>
      </c>
      <c r="C15">
        <v>17704078</v>
      </c>
      <c r="D15">
        <v>17489900</v>
      </c>
      <c r="F15" t="str">
        <f t="shared" si="0"/>
        <v>Telangana</v>
      </c>
      <c r="G15">
        <f t="shared" si="1"/>
        <v>35193978</v>
      </c>
      <c r="H15">
        <f t="shared" si="2"/>
        <v>17704078</v>
      </c>
      <c r="I15">
        <f t="shared" si="3"/>
        <v>17489900</v>
      </c>
      <c r="K15" t="s">
        <v>19</v>
      </c>
      <c r="L15">
        <v>196024</v>
      </c>
      <c r="M15" t="str">
        <f t="shared" si="4"/>
        <v>Gujarat</v>
      </c>
      <c r="N15">
        <f t="shared" si="5"/>
        <v>196024</v>
      </c>
      <c r="Q15" t="s">
        <v>24</v>
      </c>
      <c r="R15">
        <v>872496</v>
      </c>
      <c r="S15" t="str">
        <f t="shared" si="6"/>
        <v>Jharkhand</v>
      </c>
      <c r="T15">
        <f t="shared" si="7"/>
        <v>872496</v>
      </c>
      <c r="V15" t="s">
        <v>37</v>
      </c>
      <c r="W15">
        <v>973</v>
      </c>
      <c r="X15" t="str">
        <f t="shared" si="8"/>
        <v>Goa</v>
      </c>
      <c r="Y15">
        <f t="shared" si="9"/>
        <v>973</v>
      </c>
      <c r="AB15" t="s">
        <v>22</v>
      </c>
      <c r="AC15">
        <v>35193978</v>
      </c>
      <c r="AD15" t="str">
        <f t="shared" si="10"/>
        <v>Telangana</v>
      </c>
      <c r="AE15">
        <f t="shared" si="11"/>
        <v>35193978</v>
      </c>
      <c r="AG15" t="s">
        <v>25</v>
      </c>
      <c r="AH15">
        <v>26780526</v>
      </c>
      <c r="AI15" t="str">
        <f t="shared" si="12"/>
        <v>Assam</v>
      </c>
      <c r="AJ15">
        <f t="shared" si="13"/>
        <v>26780526</v>
      </c>
      <c r="AK15">
        <f t="shared" si="14"/>
        <v>3.2124852699857245</v>
      </c>
      <c r="AM15" t="s">
        <v>29</v>
      </c>
      <c r="AN15">
        <v>12905780</v>
      </c>
      <c r="AO15" t="str">
        <f t="shared" si="15"/>
        <v>Delhi (UT)</v>
      </c>
      <c r="AP15">
        <f t="shared" si="16"/>
        <v>12905780</v>
      </c>
      <c r="AQ15">
        <f t="shared" si="17"/>
        <v>3.4549652645855953</v>
      </c>
    </row>
    <row r="16" spans="1:43" x14ac:dyDescent="0.3">
      <c r="A16" t="s">
        <v>23</v>
      </c>
      <c r="B16">
        <v>33406061</v>
      </c>
      <c r="C16">
        <v>16027412</v>
      </c>
      <c r="D16">
        <v>17378649</v>
      </c>
      <c r="F16" t="str">
        <f t="shared" si="0"/>
        <v>Kerala</v>
      </c>
      <c r="G16">
        <f t="shared" si="1"/>
        <v>33406061</v>
      </c>
      <c r="H16">
        <f t="shared" si="2"/>
        <v>16027412</v>
      </c>
      <c r="I16">
        <f t="shared" si="3"/>
        <v>17378649</v>
      </c>
      <c r="K16" t="s">
        <v>28</v>
      </c>
      <c r="L16">
        <v>44212</v>
      </c>
      <c r="M16" t="str">
        <f t="shared" si="4"/>
        <v>Haryana</v>
      </c>
      <c r="N16">
        <f t="shared" si="5"/>
        <v>44212</v>
      </c>
      <c r="Q16" t="s">
        <v>18</v>
      </c>
      <c r="R16">
        <v>838017</v>
      </c>
      <c r="S16" t="str">
        <f t="shared" si="6"/>
        <v>Karnataka</v>
      </c>
      <c r="T16">
        <f t="shared" si="7"/>
        <v>838017</v>
      </c>
      <c r="V16" t="s">
        <v>32</v>
      </c>
      <c r="W16">
        <v>972</v>
      </c>
      <c r="X16" t="str">
        <f t="shared" si="8"/>
        <v>Himachal Pradesh</v>
      </c>
      <c r="Y16">
        <f t="shared" si="9"/>
        <v>972</v>
      </c>
      <c r="AB16" t="s">
        <v>23</v>
      </c>
      <c r="AC16">
        <v>33406061</v>
      </c>
      <c r="AD16" t="str">
        <f t="shared" si="10"/>
        <v>Kerala</v>
      </c>
      <c r="AE16">
        <f t="shared" si="11"/>
        <v>33406061</v>
      </c>
      <c r="AG16" t="s">
        <v>24</v>
      </c>
      <c r="AH16">
        <v>25036946</v>
      </c>
      <c r="AI16" t="str">
        <f t="shared" si="12"/>
        <v>Jharkhand</v>
      </c>
      <c r="AJ16">
        <f t="shared" si="13"/>
        <v>25036946</v>
      </c>
      <c r="AK16">
        <f t="shared" si="14"/>
        <v>3.0033323553998903</v>
      </c>
      <c r="AM16" t="s">
        <v>13</v>
      </c>
      <c r="AN16">
        <v>11729609</v>
      </c>
      <c r="AO16" t="str">
        <f t="shared" si="15"/>
        <v>Bihar</v>
      </c>
      <c r="AP16">
        <f t="shared" si="16"/>
        <v>11729609</v>
      </c>
      <c r="AQ16">
        <f t="shared" si="17"/>
        <v>3.1400962717612244</v>
      </c>
    </row>
    <row r="17" spans="1:43" x14ac:dyDescent="0.3">
      <c r="A17" t="s">
        <v>24</v>
      </c>
      <c r="B17">
        <v>32988134</v>
      </c>
      <c r="C17">
        <v>16930315</v>
      </c>
      <c r="D17">
        <v>16057819</v>
      </c>
      <c r="F17" t="str">
        <f t="shared" si="0"/>
        <v>Jharkhand</v>
      </c>
      <c r="G17">
        <f t="shared" si="1"/>
        <v>32988134</v>
      </c>
      <c r="H17">
        <f t="shared" si="2"/>
        <v>16930315</v>
      </c>
      <c r="I17">
        <f t="shared" si="3"/>
        <v>16057819</v>
      </c>
      <c r="K17" t="s">
        <v>32</v>
      </c>
      <c r="L17">
        <v>55673</v>
      </c>
      <c r="M17" t="str">
        <f t="shared" si="4"/>
        <v>Himachal Pradesh</v>
      </c>
      <c r="N17">
        <f t="shared" si="5"/>
        <v>55673</v>
      </c>
      <c r="Q17" t="s">
        <v>30</v>
      </c>
      <c r="R17">
        <v>740022</v>
      </c>
      <c r="S17" t="str">
        <f t="shared" si="6"/>
        <v>Jammu and Kashmir</v>
      </c>
      <c r="T17">
        <f t="shared" si="7"/>
        <v>740022</v>
      </c>
      <c r="V17" t="s">
        <v>31</v>
      </c>
      <c r="W17">
        <v>963</v>
      </c>
      <c r="X17" t="str">
        <f t="shared" si="8"/>
        <v>Uttarakhand</v>
      </c>
      <c r="Y17">
        <f t="shared" si="9"/>
        <v>963</v>
      </c>
      <c r="AB17" t="s">
        <v>24</v>
      </c>
      <c r="AC17">
        <v>32988134</v>
      </c>
      <c r="AD17" t="str">
        <f t="shared" si="10"/>
        <v>Jharkhand</v>
      </c>
      <c r="AE17">
        <f t="shared" si="11"/>
        <v>32988134</v>
      </c>
      <c r="AG17" t="s">
        <v>22</v>
      </c>
      <c r="AH17">
        <v>21585313</v>
      </c>
      <c r="AI17" t="str">
        <f t="shared" si="12"/>
        <v>Telangana</v>
      </c>
      <c r="AJ17">
        <f t="shared" si="13"/>
        <v>21585313</v>
      </c>
      <c r="AK17">
        <f t="shared" si="14"/>
        <v>2.5892882036944074</v>
      </c>
      <c r="AM17" t="s">
        <v>26</v>
      </c>
      <c r="AN17">
        <v>10387436</v>
      </c>
      <c r="AO17" t="str">
        <f t="shared" si="15"/>
        <v>Punjab</v>
      </c>
      <c r="AP17">
        <f t="shared" si="16"/>
        <v>10387436</v>
      </c>
      <c r="AQ17">
        <f t="shared" si="17"/>
        <v>2.7807874121599725</v>
      </c>
    </row>
    <row r="18" spans="1:43" x14ac:dyDescent="0.3">
      <c r="A18" t="s">
        <v>25</v>
      </c>
      <c r="B18">
        <v>31205576</v>
      </c>
      <c r="C18">
        <v>15939443</v>
      </c>
      <c r="D18">
        <v>15266133</v>
      </c>
      <c r="F18" t="str">
        <f t="shared" si="0"/>
        <v>Assam</v>
      </c>
      <c r="G18">
        <f t="shared" si="1"/>
        <v>31205576</v>
      </c>
      <c r="H18">
        <f t="shared" si="2"/>
        <v>15939443</v>
      </c>
      <c r="I18">
        <f t="shared" si="3"/>
        <v>15266133</v>
      </c>
      <c r="K18" t="s">
        <v>30</v>
      </c>
      <c r="L18">
        <v>222236</v>
      </c>
      <c r="M18" t="str">
        <f t="shared" si="4"/>
        <v>Jammu and Kashmir</v>
      </c>
      <c r="N18">
        <f t="shared" si="5"/>
        <v>222236</v>
      </c>
      <c r="Q18" t="s">
        <v>25</v>
      </c>
      <c r="R18">
        <v>673310</v>
      </c>
      <c r="S18" t="str">
        <f t="shared" si="6"/>
        <v>Assam</v>
      </c>
      <c r="T18">
        <f t="shared" si="7"/>
        <v>673310</v>
      </c>
      <c r="V18" t="s">
        <v>33</v>
      </c>
      <c r="W18">
        <v>960</v>
      </c>
      <c r="X18" t="str">
        <f t="shared" si="8"/>
        <v>Tripura</v>
      </c>
      <c r="Y18">
        <f t="shared" si="9"/>
        <v>960</v>
      </c>
      <c r="AB18" t="s">
        <v>25</v>
      </c>
      <c r="AC18">
        <v>31205576</v>
      </c>
      <c r="AD18" t="str">
        <f t="shared" si="10"/>
        <v>Assam</v>
      </c>
      <c r="AE18">
        <f t="shared" si="11"/>
        <v>31205576</v>
      </c>
      <c r="AG18" t="s">
        <v>27</v>
      </c>
      <c r="AH18">
        <v>19603658</v>
      </c>
      <c r="AI18" t="str">
        <f t="shared" si="12"/>
        <v>Chhattisgarh</v>
      </c>
      <c r="AJ18">
        <f t="shared" si="13"/>
        <v>19603658</v>
      </c>
      <c r="AK18">
        <f t="shared" si="14"/>
        <v>2.3515767600247215</v>
      </c>
      <c r="AM18" t="s">
        <v>28</v>
      </c>
      <c r="AN18">
        <v>8821588</v>
      </c>
      <c r="AO18" t="str">
        <f t="shared" si="15"/>
        <v>Haryana</v>
      </c>
      <c r="AP18">
        <f t="shared" si="16"/>
        <v>8821588</v>
      </c>
      <c r="AQ18">
        <f t="shared" si="17"/>
        <v>2.3615992306148956</v>
      </c>
    </row>
    <row r="19" spans="1:43" x14ac:dyDescent="0.3">
      <c r="A19" t="s">
        <v>26</v>
      </c>
      <c r="B19">
        <v>27743338</v>
      </c>
      <c r="C19">
        <v>14639465</v>
      </c>
      <c r="D19">
        <v>13103873</v>
      </c>
      <c r="F19" t="str">
        <f t="shared" si="0"/>
        <v>Punjab</v>
      </c>
      <c r="G19">
        <f t="shared" si="1"/>
        <v>27743338</v>
      </c>
      <c r="H19">
        <f t="shared" si="2"/>
        <v>14639465</v>
      </c>
      <c r="I19">
        <f t="shared" si="3"/>
        <v>13103873</v>
      </c>
      <c r="K19" t="s">
        <v>24</v>
      </c>
      <c r="L19">
        <v>79714</v>
      </c>
      <c r="M19" t="str">
        <f t="shared" si="4"/>
        <v>Jharkhand</v>
      </c>
      <c r="N19">
        <f t="shared" si="5"/>
        <v>79714</v>
      </c>
      <c r="Q19" t="s">
        <v>21</v>
      </c>
      <c r="R19">
        <v>450054</v>
      </c>
      <c r="S19" t="str">
        <f t="shared" si="6"/>
        <v>Odisha</v>
      </c>
      <c r="T19">
        <f t="shared" si="7"/>
        <v>450054</v>
      </c>
      <c r="V19" t="s">
        <v>25</v>
      </c>
      <c r="W19">
        <v>958</v>
      </c>
      <c r="X19" t="str">
        <f t="shared" si="8"/>
        <v>Assam</v>
      </c>
      <c r="Y19">
        <f t="shared" si="9"/>
        <v>958</v>
      </c>
      <c r="AB19" t="s">
        <v>26</v>
      </c>
      <c r="AC19">
        <v>27743338</v>
      </c>
      <c r="AD19" t="str">
        <f t="shared" si="10"/>
        <v>Punjab</v>
      </c>
      <c r="AE19">
        <f t="shared" si="11"/>
        <v>27743338</v>
      </c>
      <c r="AG19" t="s">
        <v>23</v>
      </c>
      <c r="AH19">
        <v>17445506</v>
      </c>
      <c r="AI19" t="str">
        <f t="shared" si="12"/>
        <v>Kerala</v>
      </c>
      <c r="AJ19">
        <f t="shared" si="13"/>
        <v>17445506</v>
      </c>
      <c r="AK19">
        <f t="shared" si="14"/>
        <v>2.0926934389730647</v>
      </c>
      <c r="AM19" t="s">
        <v>24</v>
      </c>
      <c r="AN19">
        <v>7929292</v>
      </c>
      <c r="AO19" t="str">
        <f t="shared" si="15"/>
        <v>Jharkhand</v>
      </c>
      <c r="AP19">
        <f t="shared" si="16"/>
        <v>7929292</v>
      </c>
      <c r="AQ19">
        <f t="shared" si="17"/>
        <v>2.1227255100239151</v>
      </c>
    </row>
    <row r="20" spans="1:43" x14ac:dyDescent="0.3">
      <c r="A20" t="s">
        <v>27</v>
      </c>
      <c r="B20">
        <v>25545198</v>
      </c>
      <c r="C20">
        <v>12832895</v>
      </c>
      <c r="D20">
        <v>12712303</v>
      </c>
      <c r="F20" t="str">
        <f t="shared" si="0"/>
        <v>Chhattisgarh</v>
      </c>
      <c r="G20">
        <f t="shared" si="1"/>
        <v>25545198</v>
      </c>
      <c r="H20">
        <f t="shared" si="2"/>
        <v>12832895</v>
      </c>
      <c r="I20">
        <f t="shared" si="3"/>
        <v>12712303</v>
      </c>
      <c r="K20" t="s">
        <v>18</v>
      </c>
      <c r="L20">
        <v>191791</v>
      </c>
      <c r="M20" t="str">
        <f t="shared" si="4"/>
        <v>Karnataka</v>
      </c>
      <c r="N20">
        <f t="shared" si="5"/>
        <v>191791</v>
      </c>
      <c r="Q20" t="s">
        <v>22</v>
      </c>
      <c r="R20">
        <v>214178</v>
      </c>
      <c r="S20" t="str">
        <f t="shared" si="6"/>
        <v>Telangana</v>
      </c>
      <c r="T20">
        <f t="shared" si="7"/>
        <v>214178</v>
      </c>
      <c r="V20" t="s">
        <v>14</v>
      </c>
      <c r="W20">
        <v>950</v>
      </c>
      <c r="X20" t="str">
        <f t="shared" si="8"/>
        <v>West Bengal</v>
      </c>
      <c r="Y20">
        <f t="shared" si="9"/>
        <v>950</v>
      </c>
      <c r="AB20" t="s">
        <v>27</v>
      </c>
      <c r="AC20">
        <v>25545198</v>
      </c>
      <c r="AD20" t="str">
        <f t="shared" si="10"/>
        <v>Chhattisgarh</v>
      </c>
      <c r="AE20">
        <f t="shared" si="11"/>
        <v>25545198</v>
      </c>
      <c r="AG20" t="s">
        <v>26</v>
      </c>
      <c r="AH20">
        <v>17316800</v>
      </c>
      <c r="AI20" t="str">
        <f t="shared" si="12"/>
        <v>Punjab</v>
      </c>
      <c r="AJ20">
        <f t="shared" si="13"/>
        <v>17316800</v>
      </c>
      <c r="AK20">
        <f t="shared" si="14"/>
        <v>2.0772543796671057</v>
      </c>
      <c r="AM20" t="s">
        <v>21</v>
      </c>
      <c r="AN20">
        <v>6996124</v>
      </c>
      <c r="AO20" t="str">
        <f t="shared" si="15"/>
        <v>Odisha</v>
      </c>
      <c r="AP20">
        <f t="shared" si="16"/>
        <v>6996124</v>
      </c>
      <c r="AQ20">
        <f t="shared" si="17"/>
        <v>1.8729100764722186</v>
      </c>
    </row>
    <row r="21" spans="1:43" x14ac:dyDescent="0.3">
      <c r="A21" t="s">
        <v>28</v>
      </c>
      <c r="B21">
        <v>25351462</v>
      </c>
      <c r="C21">
        <v>13494734</v>
      </c>
      <c r="D21">
        <v>11856728</v>
      </c>
      <c r="F21" t="str">
        <f t="shared" si="0"/>
        <v>Haryana</v>
      </c>
      <c r="G21">
        <f t="shared" si="1"/>
        <v>25351462</v>
      </c>
      <c r="H21">
        <f t="shared" si="2"/>
        <v>13494734</v>
      </c>
      <c r="I21">
        <f t="shared" si="3"/>
        <v>11856728</v>
      </c>
      <c r="K21" t="s">
        <v>23</v>
      </c>
      <c r="L21">
        <v>38863</v>
      </c>
      <c r="M21" t="str">
        <f t="shared" si="4"/>
        <v>Kerala</v>
      </c>
      <c r="N21">
        <f t="shared" si="5"/>
        <v>38863</v>
      </c>
      <c r="Q21" t="s">
        <v>31</v>
      </c>
      <c r="R21">
        <v>189254</v>
      </c>
      <c r="S21" t="str">
        <f t="shared" si="6"/>
        <v>Uttarakhand</v>
      </c>
      <c r="T21">
        <f t="shared" si="7"/>
        <v>189254</v>
      </c>
      <c r="V21" t="s">
        <v>24</v>
      </c>
      <c r="W21">
        <v>948</v>
      </c>
      <c r="X21" t="str">
        <f t="shared" si="8"/>
        <v>Jharkhand</v>
      </c>
      <c r="Y21">
        <f t="shared" si="9"/>
        <v>948</v>
      </c>
      <c r="AB21" t="s">
        <v>28</v>
      </c>
      <c r="AC21">
        <v>25351462</v>
      </c>
      <c r="AD21" t="str">
        <f t="shared" si="10"/>
        <v>Haryana</v>
      </c>
      <c r="AE21">
        <f t="shared" si="11"/>
        <v>25351462</v>
      </c>
      <c r="AG21" t="s">
        <v>28</v>
      </c>
      <c r="AH21">
        <v>16531493</v>
      </c>
      <c r="AI21" t="str">
        <f t="shared" si="12"/>
        <v>Haryana</v>
      </c>
      <c r="AJ21">
        <f t="shared" si="13"/>
        <v>16531493</v>
      </c>
      <c r="AK21">
        <f t="shared" si="14"/>
        <v>1.9830520787146644</v>
      </c>
      <c r="AM21" t="s">
        <v>27</v>
      </c>
      <c r="AN21">
        <v>5936538</v>
      </c>
      <c r="AO21" t="str">
        <f t="shared" si="15"/>
        <v>Chhattisgarh</v>
      </c>
      <c r="AP21">
        <f t="shared" si="16"/>
        <v>5936538</v>
      </c>
      <c r="AQ21">
        <f t="shared" si="17"/>
        <v>1.5892516827260683</v>
      </c>
    </row>
    <row r="22" spans="1:43" x14ac:dyDescent="0.3">
      <c r="A22" t="s">
        <v>29</v>
      </c>
      <c r="B22">
        <v>16787941</v>
      </c>
      <c r="C22">
        <v>8887326</v>
      </c>
      <c r="D22">
        <v>7800615</v>
      </c>
      <c r="F22" t="str">
        <f t="shared" si="0"/>
        <v>Delhi (UT)</v>
      </c>
      <c r="G22">
        <f t="shared" si="1"/>
        <v>16787941</v>
      </c>
      <c r="H22">
        <f t="shared" si="2"/>
        <v>8887326</v>
      </c>
      <c r="I22">
        <f t="shared" si="3"/>
        <v>7800615</v>
      </c>
      <c r="K22" t="s">
        <v>46</v>
      </c>
      <c r="L22">
        <v>32</v>
      </c>
      <c r="M22" t="str">
        <f t="shared" si="4"/>
        <v>Lakshadweep (UT)</v>
      </c>
      <c r="N22">
        <f t="shared" si="5"/>
        <v>32</v>
      </c>
      <c r="Q22" t="s">
        <v>16</v>
      </c>
      <c r="R22">
        <v>128920</v>
      </c>
      <c r="S22" t="str">
        <f t="shared" si="6"/>
        <v>Tamil Nadu</v>
      </c>
      <c r="T22">
        <f t="shared" si="7"/>
        <v>128920</v>
      </c>
      <c r="V22" t="s">
        <v>46</v>
      </c>
      <c r="W22">
        <v>946</v>
      </c>
      <c r="X22" t="str">
        <f t="shared" si="8"/>
        <v>Lakshadweep (UT)</v>
      </c>
      <c r="Y22">
        <f t="shared" si="9"/>
        <v>946</v>
      </c>
      <c r="AB22" t="s">
        <v>29</v>
      </c>
      <c r="AC22">
        <v>16787941</v>
      </c>
      <c r="AD22" t="str">
        <f t="shared" si="10"/>
        <v>Delhi (UT)</v>
      </c>
      <c r="AE22">
        <f t="shared" si="11"/>
        <v>16787941</v>
      </c>
      <c r="AG22" t="s">
        <v>30</v>
      </c>
      <c r="AH22">
        <v>9134820</v>
      </c>
      <c r="AI22" t="str">
        <f t="shared" si="12"/>
        <v>Jammu and Kashmir</v>
      </c>
      <c r="AJ22">
        <f t="shared" si="13"/>
        <v>9134820</v>
      </c>
      <c r="AK22">
        <f t="shared" si="14"/>
        <v>1.0957766361262282</v>
      </c>
      <c r="AM22" t="s">
        <v>25</v>
      </c>
      <c r="AN22">
        <v>4388756</v>
      </c>
      <c r="AO22" t="str">
        <f t="shared" si="15"/>
        <v>Assam</v>
      </c>
      <c r="AP22">
        <f t="shared" si="16"/>
        <v>4388756</v>
      </c>
      <c r="AQ22">
        <f t="shared" si="17"/>
        <v>1.1748998925087533</v>
      </c>
    </row>
    <row r="23" spans="1:43" x14ac:dyDescent="0.3">
      <c r="A23" t="s">
        <v>30</v>
      </c>
      <c r="B23">
        <v>12541302</v>
      </c>
      <c r="C23">
        <v>6640662</v>
      </c>
      <c r="D23">
        <v>5900640</v>
      </c>
      <c r="F23" t="str">
        <f t="shared" si="0"/>
        <v>Jammu and Kashmir</v>
      </c>
      <c r="G23">
        <f t="shared" si="1"/>
        <v>12541302</v>
      </c>
      <c r="H23">
        <f t="shared" si="2"/>
        <v>6640662</v>
      </c>
      <c r="I23">
        <f t="shared" si="3"/>
        <v>5900640</v>
      </c>
      <c r="K23" t="s">
        <v>15</v>
      </c>
      <c r="L23">
        <v>308245</v>
      </c>
      <c r="M23" t="str">
        <f t="shared" si="4"/>
        <v>Madhya Pradesh</v>
      </c>
      <c r="N23">
        <f t="shared" si="5"/>
        <v>308245</v>
      </c>
      <c r="Q23" t="s">
        <v>27</v>
      </c>
      <c r="R23">
        <v>120592</v>
      </c>
      <c r="S23" t="str">
        <f t="shared" si="6"/>
        <v>Chhattisgarh</v>
      </c>
      <c r="T23">
        <f t="shared" si="7"/>
        <v>120592</v>
      </c>
      <c r="V23" t="s">
        <v>38</v>
      </c>
      <c r="W23">
        <v>938</v>
      </c>
      <c r="X23" t="str">
        <f t="shared" si="8"/>
        <v>Arunachal Pradesh</v>
      </c>
      <c r="Y23">
        <f t="shared" si="9"/>
        <v>938</v>
      </c>
      <c r="AB23" t="s">
        <v>30</v>
      </c>
      <c r="AC23">
        <v>12541302</v>
      </c>
      <c r="AD23" t="str">
        <f t="shared" si="10"/>
        <v>Jammu and Kashmir</v>
      </c>
      <c r="AE23">
        <f t="shared" si="11"/>
        <v>12541302</v>
      </c>
      <c r="AG23" t="s">
        <v>31</v>
      </c>
      <c r="AH23">
        <v>7025583</v>
      </c>
      <c r="AI23" t="str">
        <f t="shared" si="12"/>
        <v>Uttarakhand</v>
      </c>
      <c r="AJ23">
        <f t="shared" si="13"/>
        <v>7025583</v>
      </c>
      <c r="AK23">
        <f t="shared" si="14"/>
        <v>0.8427609637152802</v>
      </c>
      <c r="AM23" t="s">
        <v>30</v>
      </c>
      <c r="AN23">
        <v>3414106</v>
      </c>
      <c r="AO23" t="str">
        <f t="shared" si="15"/>
        <v>Jammu and Kashmir</v>
      </c>
      <c r="AP23">
        <f t="shared" si="16"/>
        <v>3414106</v>
      </c>
      <c r="AQ23">
        <f t="shared" si="17"/>
        <v>0.91397944483892235</v>
      </c>
    </row>
    <row r="24" spans="1:43" x14ac:dyDescent="0.3">
      <c r="A24" t="s">
        <v>31</v>
      </c>
      <c r="B24">
        <v>10086292</v>
      </c>
      <c r="C24">
        <v>5137773</v>
      </c>
      <c r="D24">
        <v>4948519</v>
      </c>
      <c r="F24" t="str">
        <f t="shared" si="0"/>
        <v>Uttarakhand</v>
      </c>
      <c r="G24">
        <f t="shared" si="1"/>
        <v>10086292</v>
      </c>
      <c r="H24">
        <f t="shared" si="2"/>
        <v>5137773</v>
      </c>
      <c r="I24">
        <f t="shared" si="3"/>
        <v>4948519</v>
      </c>
      <c r="K24" t="s">
        <v>12</v>
      </c>
      <c r="L24">
        <v>307713</v>
      </c>
      <c r="M24" t="str">
        <f t="shared" si="4"/>
        <v>Maharashtra</v>
      </c>
      <c r="N24">
        <f t="shared" si="5"/>
        <v>307713</v>
      </c>
      <c r="Q24" t="s">
        <v>41</v>
      </c>
      <c r="R24">
        <v>105876</v>
      </c>
      <c r="S24" t="str">
        <f t="shared" si="6"/>
        <v>Chandigarh (UT)</v>
      </c>
      <c r="T24">
        <f t="shared" si="7"/>
        <v>105876</v>
      </c>
      <c r="V24" t="s">
        <v>36</v>
      </c>
      <c r="W24">
        <v>931</v>
      </c>
      <c r="X24" t="str">
        <f t="shared" si="8"/>
        <v>Nagaland</v>
      </c>
      <c r="Y24">
        <f t="shared" si="9"/>
        <v>931</v>
      </c>
      <c r="AB24" t="s">
        <v>31</v>
      </c>
      <c r="AC24">
        <v>10086292</v>
      </c>
      <c r="AD24" t="str">
        <f t="shared" si="10"/>
        <v>Uttarakhand</v>
      </c>
      <c r="AE24">
        <f t="shared" si="11"/>
        <v>10086292</v>
      </c>
      <c r="AG24" t="s">
        <v>32</v>
      </c>
      <c r="AH24">
        <v>6167805</v>
      </c>
      <c r="AI24" t="str">
        <f t="shared" si="12"/>
        <v>Himachal Pradesh</v>
      </c>
      <c r="AJ24">
        <f t="shared" si="13"/>
        <v>6167805</v>
      </c>
      <c r="AK24">
        <f t="shared" si="14"/>
        <v>0.73986533015237643</v>
      </c>
      <c r="AM24" t="s">
        <v>31</v>
      </c>
      <c r="AN24">
        <v>3091169</v>
      </c>
      <c r="AO24" t="str">
        <f t="shared" si="15"/>
        <v>Uttarakhand</v>
      </c>
      <c r="AP24">
        <f t="shared" si="16"/>
        <v>3091169</v>
      </c>
      <c r="AQ24">
        <f t="shared" si="17"/>
        <v>0.82752700898076592</v>
      </c>
    </row>
    <row r="25" spans="1:43" x14ac:dyDescent="0.3">
      <c r="A25" t="s">
        <v>32</v>
      </c>
      <c r="B25">
        <v>6864602</v>
      </c>
      <c r="C25">
        <v>3481873</v>
      </c>
      <c r="D25">
        <v>3382729</v>
      </c>
      <c r="F25" t="str">
        <f t="shared" si="0"/>
        <v>Himachal Pradesh</v>
      </c>
      <c r="G25">
        <f t="shared" si="1"/>
        <v>6864602</v>
      </c>
      <c r="H25">
        <f t="shared" si="2"/>
        <v>3481873</v>
      </c>
      <c r="I25">
        <f t="shared" si="3"/>
        <v>3382729</v>
      </c>
      <c r="K25" t="s">
        <v>35</v>
      </c>
      <c r="L25">
        <v>22327</v>
      </c>
      <c r="M25" t="str">
        <f t="shared" si="4"/>
        <v>Manipur</v>
      </c>
      <c r="N25">
        <f t="shared" si="5"/>
        <v>22327</v>
      </c>
      <c r="Q25" t="s">
        <v>32</v>
      </c>
      <c r="R25">
        <v>99144</v>
      </c>
      <c r="S25" t="str">
        <f t="shared" si="6"/>
        <v>Himachal Pradesh</v>
      </c>
      <c r="T25">
        <f t="shared" si="7"/>
        <v>99144</v>
      </c>
      <c r="V25" t="s">
        <v>15</v>
      </c>
      <c r="W25">
        <v>931</v>
      </c>
      <c r="X25" t="str">
        <f t="shared" si="8"/>
        <v>Madhya Pradesh</v>
      </c>
      <c r="Y25">
        <f t="shared" si="9"/>
        <v>931</v>
      </c>
      <c r="AB25" t="s">
        <v>32</v>
      </c>
      <c r="AC25">
        <v>6864602</v>
      </c>
      <c r="AD25" t="str">
        <f t="shared" si="10"/>
        <v>Himachal Pradesh</v>
      </c>
      <c r="AE25">
        <f t="shared" si="11"/>
        <v>6864602</v>
      </c>
      <c r="AG25" t="s">
        <v>33</v>
      </c>
      <c r="AH25">
        <v>2710051</v>
      </c>
      <c r="AI25" t="str">
        <f t="shared" si="12"/>
        <v>Tripura</v>
      </c>
      <c r="AJ25">
        <f t="shared" si="13"/>
        <v>2710051</v>
      </c>
      <c r="AK25">
        <f t="shared" si="14"/>
        <v>0.32508692765818276</v>
      </c>
      <c r="AM25" t="s">
        <v>41</v>
      </c>
      <c r="AN25">
        <v>1025682</v>
      </c>
      <c r="AO25" t="str">
        <f t="shared" si="15"/>
        <v>Chandigarh (UT)</v>
      </c>
      <c r="AP25">
        <f t="shared" si="16"/>
        <v>1025682</v>
      </c>
      <c r="AQ25">
        <f t="shared" si="17"/>
        <v>0.27458206187542966</v>
      </c>
    </row>
    <row r="26" spans="1:43" x14ac:dyDescent="0.3">
      <c r="A26" t="s">
        <v>33</v>
      </c>
      <c r="B26">
        <v>3673917</v>
      </c>
      <c r="C26">
        <v>1874376</v>
      </c>
      <c r="D26">
        <v>1799541</v>
      </c>
      <c r="F26" t="str">
        <f t="shared" si="0"/>
        <v>Tripura</v>
      </c>
      <c r="G26">
        <f t="shared" si="1"/>
        <v>3673917</v>
      </c>
      <c r="H26">
        <f t="shared" si="2"/>
        <v>1874376</v>
      </c>
      <c r="I26">
        <f t="shared" si="3"/>
        <v>1799541</v>
      </c>
      <c r="K26" t="s">
        <v>34</v>
      </c>
      <c r="L26">
        <v>22429</v>
      </c>
      <c r="M26" t="str">
        <f t="shared" si="4"/>
        <v>Meghalaya</v>
      </c>
      <c r="N26">
        <f t="shared" si="5"/>
        <v>22429</v>
      </c>
      <c r="Q26" t="s">
        <v>20</v>
      </c>
      <c r="R26">
        <v>89337</v>
      </c>
      <c r="S26" t="str">
        <f t="shared" si="6"/>
        <v>Andhra Pradesh</v>
      </c>
      <c r="T26">
        <f t="shared" si="7"/>
        <v>89337</v>
      </c>
      <c r="V26" t="s">
        <v>11</v>
      </c>
      <c r="W26">
        <v>930</v>
      </c>
      <c r="X26" t="str">
        <f t="shared" si="8"/>
        <v>Uttar Pradesh</v>
      </c>
      <c r="Y26">
        <f t="shared" si="9"/>
        <v>930</v>
      </c>
      <c r="AB26" t="s">
        <v>33</v>
      </c>
      <c r="AC26">
        <v>3673917</v>
      </c>
      <c r="AD26" t="str">
        <f t="shared" si="10"/>
        <v>Tripura</v>
      </c>
      <c r="AE26">
        <f t="shared" si="11"/>
        <v>3673917</v>
      </c>
      <c r="AG26" t="s">
        <v>34</v>
      </c>
      <c r="AH26">
        <v>2368971</v>
      </c>
      <c r="AI26" t="str">
        <f t="shared" si="12"/>
        <v>Meghalaya</v>
      </c>
      <c r="AJ26">
        <f t="shared" si="13"/>
        <v>2368971</v>
      </c>
      <c r="AK26">
        <f t="shared" si="14"/>
        <v>0.28417232889762328</v>
      </c>
      <c r="AM26" t="s">
        <v>33</v>
      </c>
      <c r="AN26">
        <v>960981</v>
      </c>
      <c r="AO26" t="str">
        <f t="shared" si="15"/>
        <v>Tripura</v>
      </c>
      <c r="AP26">
        <f t="shared" si="16"/>
        <v>960981</v>
      </c>
      <c r="AQ26">
        <f t="shared" si="17"/>
        <v>0.25726116320956421</v>
      </c>
    </row>
    <row r="27" spans="1:43" x14ac:dyDescent="0.3">
      <c r="A27" t="s">
        <v>34</v>
      </c>
      <c r="B27">
        <v>2966889</v>
      </c>
      <c r="C27">
        <v>1491832</v>
      </c>
      <c r="D27">
        <v>1475057</v>
      </c>
      <c r="F27" t="str">
        <f t="shared" si="0"/>
        <v>Meghalaya</v>
      </c>
      <c r="G27">
        <f t="shared" si="1"/>
        <v>2966889</v>
      </c>
      <c r="H27">
        <f t="shared" si="2"/>
        <v>1491832</v>
      </c>
      <c r="I27">
        <f t="shared" si="3"/>
        <v>1475057</v>
      </c>
      <c r="K27" t="s">
        <v>40</v>
      </c>
      <c r="L27">
        <v>21081</v>
      </c>
      <c r="M27" t="str">
        <f t="shared" si="4"/>
        <v>Mizoram</v>
      </c>
      <c r="N27">
        <f t="shared" si="5"/>
        <v>21081</v>
      </c>
      <c r="Q27" t="s">
        <v>33</v>
      </c>
      <c r="R27">
        <v>74835</v>
      </c>
      <c r="S27" t="str">
        <f t="shared" si="6"/>
        <v>Tripura</v>
      </c>
      <c r="T27">
        <f t="shared" si="7"/>
        <v>74835</v>
      </c>
      <c r="V27" t="s">
        <v>12</v>
      </c>
      <c r="W27">
        <v>929</v>
      </c>
      <c r="X27" t="str">
        <f t="shared" si="8"/>
        <v>Maharashtra</v>
      </c>
      <c r="Y27">
        <f t="shared" si="9"/>
        <v>929</v>
      </c>
      <c r="AB27" t="s">
        <v>34</v>
      </c>
      <c r="AC27">
        <v>2966889</v>
      </c>
      <c r="AD27" t="str">
        <f t="shared" si="10"/>
        <v>Meghalaya</v>
      </c>
      <c r="AE27">
        <f t="shared" si="11"/>
        <v>2966889</v>
      </c>
      <c r="AG27" t="s">
        <v>35</v>
      </c>
      <c r="AH27">
        <v>1899624</v>
      </c>
      <c r="AI27" t="str">
        <f t="shared" si="12"/>
        <v>Manipur</v>
      </c>
      <c r="AJ27">
        <f t="shared" si="13"/>
        <v>1899624</v>
      </c>
      <c r="AK27">
        <f t="shared" si="14"/>
        <v>0.22787133152318823</v>
      </c>
      <c r="AM27" t="s">
        <v>37</v>
      </c>
      <c r="AN27">
        <v>906309</v>
      </c>
      <c r="AO27" t="str">
        <f t="shared" si="15"/>
        <v>Goa</v>
      </c>
      <c r="AP27">
        <f t="shared" si="16"/>
        <v>906309</v>
      </c>
      <c r="AQ27">
        <f t="shared" si="17"/>
        <v>0.24262509619575925</v>
      </c>
    </row>
    <row r="28" spans="1:43" x14ac:dyDescent="0.3">
      <c r="A28" t="s">
        <v>35</v>
      </c>
      <c r="B28">
        <v>2855794</v>
      </c>
      <c r="C28">
        <v>1438687</v>
      </c>
      <c r="D28">
        <v>1417107</v>
      </c>
      <c r="F28" t="str">
        <f t="shared" si="0"/>
        <v>Manipur</v>
      </c>
      <c r="G28">
        <f t="shared" si="1"/>
        <v>2855794</v>
      </c>
      <c r="H28">
        <f t="shared" si="2"/>
        <v>1438687</v>
      </c>
      <c r="I28">
        <f t="shared" si="3"/>
        <v>1417107</v>
      </c>
      <c r="K28" t="s">
        <v>36</v>
      </c>
      <c r="L28">
        <v>16579</v>
      </c>
      <c r="M28" t="str">
        <f t="shared" si="4"/>
        <v>Nagaland</v>
      </c>
      <c r="N28">
        <f t="shared" si="5"/>
        <v>16579</v>
      </c>
      <c r="Q28" t="s">
        <v>36</v>
      </c>
      <c r="R28">
        <v>70796</v>
      </c>
      <c r="S28" t="str">
        <f t="shared" si="6"/>
        <v>Nagaland</v>
      </c>
      <c r="T28">
        <f t="shared" si="7"/>
        <v>70796</v>
      </c>
      <c r="V28" t="s">
        <v>17</v>
      </c>
      <c r="W28">
        <v>928</v>
      </c>
      <c r="X28" t="str">
        <f t="shared" si="8"/>
        <v>Rajasthan</v>
      </c>
      <c r="Y28">
        <f t="shared" si="9"/>
        <v>928</v>
      </c>
      <c r="AB28" t="s">
        <v>35</v>
      </c>
      <c r="AC28">
        <v>2855794</v>
      </c>
      <c r="AD28" t="str">
        <f t="shared" si="10"/>
        <v>Manipur</v>
      </c>
      <c r="AE28">
        <f t="shared" si="11"/>
        <v>2855794</v>
      </c>
      <c r="AG28" t="s">
        <v>36</v>
      </c>
      <c r="AH28">
        <v>1406861</v>
      </c>
      <c r="AI28" t="str">
        <f t="shared" si="12"/>
        <v>Nagaland</v>
      </c>
      <c r="AJ28">
        <f t="shared" si="13"/>
        <v>1406861</v>
      </c>
      <c r="AK28">
        <f t="shared" si="14"/>
        <v>0.16876144402157695</v>
      </c>
      <c r="AM28" t="s">
        <v>39</v>
      </c>
      <c r="AN28">
        <v>850123</v>
      </c>
      <c r="AO28" t="str">
        <f t="shared" si="15"/>
        <v>Puducherry (UT)</v>
      </c>
      <c r="AP28">
        <f t="shared" si="16"/>
        <v>850123</v>
      </c>
      <c r="AQ28">
        <f t="shared" si="17"/>
        <v>0.22758372106337624</v>
      </c>
    </row>
    <row r="29" spans="1:43" x14ac:dyDescent="0.3">
      <c r="A29" t="s">
        <v>36</v>
      </c>
      <c r="B29">
        <v>1978502</v>
      </c>
      <c r="C29">
        <v>1024649</v>
      </c>
      <c r="D29">
        <v>953853</v>
      </c>
      <c r="F29" t="str">
        <f t="shared" si="0"/>
        <v>Nagaland</v>
      </c>
      <c r="G29">
        <f t="shared" si="1"/>
        <v>1978502</v>
      </c>
      <c r="H29">
        <f t="shared" si="2"/>
        <v>1024649</v>
      </c>
      <c r="I29">
        <f t="shared" si="3"/>
        <v>953853</v>
      </c>
      <c r="K29" t="s">
        <v>21</v>
      </c>
      <c r="L29">
        <v>155707</v>
      </c>
      <c r="M29" t="str">
        <f t="shared" si="4"/>
        <v>Odisha</v>
      </c>
      <c r="N29">
        <f t="shared" si="5"/>
        <v>155707</v>
      </c>
      <c r="Q29" t="s">
        <v>45</v>
      </c>
      <c r="R29">
        <v>57355</v>
      </c>
      <c r="S29" t="str">
        <f t="shared" si="6"/>
        <v>Daman and Diu (UT)</v>
      </c>
      <c r="T29">
        <f t="shared" si="7"/>
        <v>57355</v>
      </c>
      <c r="V29" t="s">
        <v>19</v>
      </c>
      <c r="W29">
        <v>919</v>
      </c>
      <c r="X29" t="str">
        <f t="shared" si="8"/>
        <v>Gujarat</v>
      </c>
      <c r="Y29">
        <f t="shared" si="9"/>
        <v>919</v>
      </c>
      <c r="AB29" t="s">
        <v>36</v>
      </c>
      <c r="AC29">
        <v>1978502</v>
      </c>
      <c r="AD29" t="str">
        <f t="shared" si="10"/>
        <v>Nagaland</v>
      </c>
      <c r="AE29">
        <f t="shared" si="11"/>
        <v>1978502</v>
      </c>
      <c r="AG29" t="s">
        <v>38</v>
      </c>
      <c r="AH29">
        <v>1069165</v>
      </c>
      <c r="AI29" t="str">
        <f t="shared" si="12"/>
        <v>Arunachal Pradesh</v>
      </c>
      <c r="AJ29">
        <f t="shared" si="13"/>
        <v>1069165</v>
      </c>
      <c r="AK29">
        <f t="shared" si="14"/>
        <v>0.12825277642732957</v>
      </c>
      <c r="AM29" t="s">
        <v>35</v>
      </c>
      <c r="AN29">
        <v>822132</v>
      </c>
      <c r="AO29" t="str">
        <f t="shared" si="15"/>
        <v>Manipur</v>
      </c>
      <c r="AP29">
        <f t="shared" si="16"/>
        <v>822132</v>
      </c>
      <c r="AQ29">
        <f t="shared" si="17"/>
        <v>0.22009033959235974</v>
      </c>
    </row>
    <row r="30" spans="1:43" x14ac:dyDescent="0.3">
      <c r="A30" t="s">
        <v>37</v>
      </c>
      <c r="B30">
        <v>1458545</v>
      </c>
      <c r="C30">
        <v>739140</v>
      </c>
      <c r="D30">
        <v>719405</v>
      </c>
      <c r="F30" t="str">
        <f t="shared" si="0"/>
        <v>Goa</v>
      </c>
      <c r="G30">
        <f t="shared" si="1"/>
        <v>1458545</v>
      </c>
      <c r="H30">
        <f t="shared" si="2"/>
        <v>739140</v>
      </c>
      <c r="I30">
        <f t="shared" si="3"/>
        <v>719405</v>
      </c>
      <c r="K30" t="s">
        <v>39</v>
      </c>
      <c r="L30">
        <v>479</v>
      </c>
      <c r="M30" t="str">
        <f t="shared" si="4"/>
        <v>Puducherry (UT)</v>
      </c>
      <c r="N30">
        <f t="shared" si="5"/>
        <v>479</v>
      </c>
      <c r="Q30" t="s">
        <v>38</v>
      </c>
      <c r="R30">
        <v>44097</v>
      </c>
      <c r="S30" t="str">
        <f t="shared" si="6"/>
        <v>Arunachal Pradesh</v>
      </c>
      <c r="T30">
        <f t="shared" si="7"/>
        <v>44097</v>
      </c>
      <c r="V30" t="s">
        <v>13</v>
      </c>
      <c r="W30">
        <v>918</v>
      </c>
      <c r="X30" t="str">
        <f t="shared" si="8"/>
        <v>Bihar</v>
      </c>
      <c r="Y30">
        <f t="shared" si="9"/>
        <v>918</v>
      </c>
      <c r="AB30" t="s">
        <v>37</v>
      </c>
      <c r="AC30">
        <v>1458545</v>
      </c>
      <c r="AD30" t="str">
        <f t="shared" si="10"/>
        <v>Goa</v>
      </c>
      <c r="AE30">
        <f t="shared" si="11"/>
        <v>1458545</v>
      </c>
      <c r="AG30" t="s">
        <v>29</v>
      </c>
      <c r="AH30">
        <v>944727</v>
      </c>
      <c r="AI30" t="str">
        <f t="shared" si="12"/>
        <v>Delhi (UT)</v>
      </c>
      <c r="AJ30">
        <f t="shared" si="13"/>
        <v>944727</v>
      </c>
      <c r="AK30">
        <f t="shared" si="14"/>
        <v>0.11332568940796023</v>
      </c>
      <c r="AM30" t="s">
        <v>32</v>
      </c>
      <c r="AN30">
        <v>688704</v>
      </c>
      <c r="AO30" t="str">
        <f t="shared" si="15"/>
        <v>Himachal Pradesh</v>
      </c>
      <c r="AP30">
        <f t="shared" si="16"/>
        <v>688704</v>
      </c>
      <c r="AQ30">
        <f t="shared" si="17"/>
        <v>0.18437075462166236</v>
      </c>
    </row>
    <row r="31" spans="1:43" x14ac:dyDescent="0.3">
      <c r="A31" t="s">
        <v>38</v>
      </c>
      <c r="B31">
        <v>1383727</v>
      </c>
      <c r="C31">
        <v>713912</v>
      </c>
      <c r="D31">
        <v>669815</v>
      </c>
      <c r="F31" t="str">
        <f t="shared" si="0"/>
        <v>Arunachal Pradesh</v>
      </c>
      <c r="G31">
        <f t="shared" si="1"/>
        <v>1383727</v>
      </c>
      <c r="H31">
        <f t="shared" si="2"/>
        <v>713912</v>
      </c>
      <c r="I31">
        <f t="shared" si="3"/>
        <v>669815</v>
      </c>
      <c r="K31" t="s">
        <v>26</v>
      </c>
      <c r="L31">
        <v>50362</v>
      </c>
      <c r="M31" t="str">
        <f t="shared" si="4"/>
        <v>Punjab</v>
      </c>
      <c r="N31">
        <f t="shared" si="5"/>
        <v>50362</v>
      </c>
      <c r="Q31" t="s">
        <v>44</v>
      </c>
      <c r="R31">
        <v>43811</v>
      </c>
      <c r="S31" t="str">
        <f t="shared" si="6"/>
        <v>Dadra and Nagar Haveli (UT)</v>
      </c>
      <c r="T31">
        <f t="shared" si="7"/>
        <v>43811</v>
      </c>
      <c r="V31" t="s">
        <v>26</v>
      </c>
      <c r="W31">
        <v>895</v>
      </c>
      <c r="X31" t="str">
        <f t="shared" si="8"/>
        <v>Punjab</v>
      </c>
      <c r="Y31">
        <f t="shared" si="9"/>
        <v>895</v>
      </c>
      <c r="AB31" t="s">
        <v>38</v>
      </c>
      <c r="AC31">
        <v>1383727</v>
      </c>
      <c r="AD31" t="str">
        <f t="shared" si="10"/>
        <v>Arunachal Pradesh</v>
      </c>
      <c r="AE31">
        <f t="shared" si="11"/>
        <v>1383727</v>
      </c>
      <c r="AG31" t="s">
        <v>37</v>
      </c>
      <c r="AH31">
        <v>551414</v>
      </c>
      <c r="AI31" t="str">
        <f t="shared" si="12"/>
        <v>Goa</v>
      </c>
      <c r="AJ31">
        <f t="shared" si="13"/>
        <v>551414</v>
      </c>
      <c r="AK31">
        <f t="shared" si="14"/>
        <v>6.6145427937595702E-2</v>
      </c>
      <c r="AM31" t="s">
        <v>34</v>
      </c>
      <c r="AN31">
        <v>595036</v>
      </c>
      <c r="AO31" t="str">
        <f t="shared" si="15"/>
        <v>Meghalaya</v>
      </c>
      <c r="AP31">
        <f t="shared" si="16"/>
        <v>595036</v>
      </c>
      <c r="AQ31">
        <f t="shared" si="17"/>
        <v>0.15929519263290975</v>
      </c>
    </row>
    <row r="32" spans="1:43" x14ac:dyDescent="0.3">
      <c r="A32" t="s">
        <v>39</v>
      </c>
      <c r="B32">
        <v>1247953</v>
      </c>
      <c r="C32">
        <v>612511</v>
      </c>
      <c r="D32">
        <v>635442</v>
      </c>
      <c r="F32" t="str">
        <f t="shared" si="0"/>
        <v>Puducherry (UT)</v>
      </c>
      <c r="G32">
        <f t="shared" si="1"/>
        <v>1247953</v>
      </c>
      <c r="H32">
        <f t="shared" si="2"/>
        <v>612511</v>
      </c>
      <c r="I32">
        <f t="shared" si="3"/>
        <v>635442</v>
      </c>
      <c r="K32" t="s">
        <v>17</v>
      </c>
      <c r="L32">
        <v>342239</v>
      </c>
      <c r="M32" t="str">
        <f t="shared" si="4"/>
        <v>Rajasthan</v>
      </c>
      <c r="N32">
        <f t="shared" si="5"/>
        <v>342239</v>
      </c>
      <c r="Q32" t="s">
        <v>42</v>
      </c>
      <c r="R32">
        <v>35563</v>
      </c>
      <c r="S32" t="str">
        <f t="shared" si="6"/>
        <v>Sikkim</v>
      </c>
      <c r="T32">
        <f t="shared" si="7"/>
        <v>35563</v>
      </c>
      <c r="V32" t="s">
        <v>42</v>
      </c>
      <c r="W32">
        <v>890</v>
      </c>
      <c r="X32" t="str">
        <f t="shared" si="8"/>
        <v>Sikkim</v>
      </c>
      <c r="Y32">
        <f t="shared" si="9"/>
        <v>890</v>
      </c>
      <c r="AB32" t="s">
        <v>39</v>
      </c>
      <c r="AC32">
        <v>1247953</v>
      </c>
      <c r="AD32" t="str">
        <f t="shared" si="10"/>
        <v>Puducherry (UT)</v>
      </c>
      <c r="AE32">
        <f t="shared" si="11"/>
        <v>1247953</v>
      </c>
      <c r="AG32" t="s">
        <v>40</v>
      </c>
      <c r="AH32">
        <v>529037</v>
      </c>
      <c r="AI32" t="str">
        <f t="shared" si="12"/>
        <v>Mizoram</v>
      </c>
      <c r="AJ32">
        <f t="shared" si="13"/>
        <v>529037</v>
      </c>
      <c r="AK32">
        <f t="shared" si="14"/>
        <v>6.3461172113551387E-2</v>
      </c>
      <c r="AM32" t="s">
        <v>36</v>
      </c>
      <c r="AN32">
        <v>573741</v>
      </c>
      <c r="AO32" t="str">
        <f t="shared" si="15"/>
        <v>Nagaland</v>
      </c>
      <c r="AP32">
        <f t="shared" si="16"/>
        <v>573741</v>
      </c>
      <c r="AQ32">
        <f t="shared" si="17"/>
        <v>0.15359437599808798</v>
      </c>
    </row>
    <row r="33" spans="1:43" x14ac:dyDescent="0.3">
      <c r="A33" t="s">
        <v>40</v>
      </c>
      <c r="B33">
        <v>1097206</v>
      </c>
      <c r="C33">
        <v>555339</v>
      </c>
      <c r="D33">
        <v>541867</v>
      </c>
      <c r="F33" t="str">
        <f t="shared" si="0"/>
        <v>Mizoram</v>
      </c>
      <c r="G33">
        <f t="shared" si="1"/>
        <v>1097206</v>
      </c>
      <c r="H33">
        <f t="shared" si="2"/>
        <v>555339</v>
      </c>
      <c r="I33">
        <f t="shared" si="3"/>
        <v>541867</v>
      </c>
      <c r="K33" t="s">
        <v>42</v>
      </c>
      <c r="L33">
        <v>7096</v>
      </c>
      <c r="M33" t="str">
        <f t="shared" si="4"/>
        <v>Sikkim</v>
      </c>
      <c r="N33">
        <f t="shared" si="5"/>
        <v>7096</v>
      </c>
      <c r="Q33" t="s">
        <v>43</v>
      </c>
      <c r="R33">
        <v>25161</v>
      </c>
      <c r="S33" t="str">
        <f t="shared" si="6"/>
        <v>Andaman and Nicobar Islands (UT)</v>
      </c>
      <c r="T33">
        <f t="shared" si="7"/>
        <v>25161</v>
      </c>
      <c r="V33" t="s">
        <v>30</v>
      </c>
      <c r="W33">
        <v>889</v>
      </c>
      <c r="X33" t="str">
        <f t="shared" si="8"/>
        <v>Jammu and Kashmir</v>
      </c>
      <c r="Y33">
        <f t="shared" si="9"/>
        <v>889</v>
      </c>
      <c r="AB33" t="s">
        <v>40</v>
      </c>
      <c r="AC33">
        <v>1097206</v>
      </c>
      <c r="AD33" t="str">
        <f t="shared" si="10"/>
        <v>Mizoram</v>
      </c>
      <c r="AE33">
        <f t="shared" si="11"/>
        <v>1097206</v>
      </c>
      <c r="AG33" t="s">
        <v>42</v>
      </c>
      <c r="AH33">
        <v>455962</v>
      </c>
      <c r="AI33" t="str">
        <f t="shared" si="12"/>
        <v>Sikkim</v>
      </c>
      <c r="AJ33">
        <f t="shared" si="13"/>
        <v>455962</v>
      </c>
      <c r="AK33">
        <f t="shared" si="14"/>
        <v>5.469538606796711E-2</v>
      </c>
      <c r="AM33" t="s">
        <v>40</v>
      </c>
      <c r="AN33">
        <v>561997</v>
      </c>
      <c r="AO33" t="str">
        <f t="shared" si="15"/>
        <v>Mizoram</v>
      </c>
      <c r="AP33">
        <f t="shared" si="16"/>
        <v>561997</v>
      </c>
      <c r="AQ33">
        <f t="shared" si="17"/>
        <v>0.15045042715754572</v>
      </c>
    </row>
    <row r="34" spans="1:43" x14ac:dyDescent="0.3">
      <c r="A34" t="s">
        <v>41</v>
      </c>
      <c r="B34">
        <v>1055450</v>
      </c>
      <c r="C34">
        <v>580663</v>
      </c>
      <c r="D34">
        <v>474787</v>
      </c>
      <c r="F34" t="str">
        <f t="shared" si="0"/>
        <v>Chandigarh (UT)</v>
      </c>
      <c r="G34">
        <f t="shared" si="1"/>
        <v>1055450</v>
      </c>
      <c r="H34">
        <f t="shared" si="2"/>
        <v>580663</v>
      </c>
      <c r="I34">
        <f t="shared" si="3"/>
        <v>474787</v>
      </c>
      <c r="K34" t="s">
        <v>16</v>
      </c>
      <c r="L34">
        <v>130058</v>
      </c>
      <c r="M34" t="str">
        <f t="shared" si="4"/>
        <v>Tamil Nadu</v>
      </c>
      <c r="N34">
        <f t="shared" si="5"/>
        <v>130058</v>
      </c>
      <c r="Q34" t="s">
        <v>39</v>
      </c>
      <c r="R34">
        <v>22931</v>
      </c>
      <c r="S34" t="str">
        <f t="shared" si="6"/>
        <v>Puducherry (UT)</v>
      </c>
      <c r="T34">
        <f t="shared" si="7"/>
        <v>22931</v>
      </c>
      <c r="V34" t="s">
        <v>28</v>
      </c>
      <c r="W34">
        <v>879</v>
      </c>
      <c r="X34" t="str">
        <f t="shared" si="8"/>
        <v>Haryana</v>
      </c>
      <c r="Y34">
        <f t="shared" si="9"/>
        <v>879</v>
      </c>
      <c r="AB34" t="s">
        <v>41</v>
      </c>
      <c r="AC34">
        <v>1055450</v>
      </c>
      <c r="AD34" t="str">
        <f t="shared" si="10"/>
        <v>Chandigarh (UT)</v>
      </c>
      <c r="AE34">
        <f t="shared" si="11"/>
        <v>1055450</v>
      </c>
      <c r="AG34" t="s">
        <v>39</v>
      </c>
      <c r="AH34">
        <v>394341</v>
      </c>
      <c r="AI34" t="str">
        <f t="shared" si="12"/>
        <v>Puducherry (UT)</v>
      </c>
      <c r="AJ34">
        <f t="shared" si="13"/>
        <v>394341</v>
      </c>
      <c r="AK34">
        <f t="shared" si="14"/>
        <v>4.7303576257293846E-2</v>
      </c>
      <c r="AM34" t="s">
        <v>38</v>
      </c>
      <c r="AN34">
        <v>313446</v>
      </c>
      <c r="AO34" t="str">
        <f t="shared" si="15"/>
        <v>Arunachal Pradesh</v>
      </c>
      <c r="AP34">
        <f t="shared" si="16"/>
        <v>313446</v>
      </c>
      <c r="AQ34">
        <f t="shared" si="17"/>
        <v>8.3911630472803381E-2</v>
      </c>
    </row>
    <row r="35" spans="1:43" x14ac:dyDescent="0.3">
      <c r="A35" t="s">
        <v>42</v>
      </c>
      <c r="B35">
        <v>610577</v>
      </c>
      <c r="C35">
        <v>323070</v>
      </c>
      <c r="D35">
        <v>287507</v>
      </c>
      <c r="F35" t="str">
        <f t="shared" si="0"/>
        <v>Sikkim</v>
      </c>
      <c r="G35">
        <f t="shared" si="1"/>
        <v>610577</v>
      </c>
      <c r="H35">
        <f t="shared" si="2"/>
        <v>323070</v>
      </c>
      <c r="I35">
        <f t="shared" si="3"/>
        <v>287507</v>
      </c>
      <c r="K35" t="s">
        <v>22</v>
      </c>
      <c r="L35">
        <v>114840</v>
      </c>
      <c r="M35" t="str">
        <f t="shared" si="4"/>
        <v>Telangana</v>
      </c>
      <c r="N35">
        <f t="shared" si="5"/>
        <v>114840</v>
      </c>
      <c r="Q35" t="s">
        <v>35</v>
      </c>
      <c r="R35">
        <v>21580</v>
      </c>
      <c r="S35" t="str">
        <f t="shared" si="6"/>
        <v>Manipur</v>
      </c>
      <c r="T35">
        <f t="shared" si="7"/>
        <v>21580</v>
      </c>
      <c r="V35" t="s">
        <v>43</v>
      </c>
      <c r="W35">
        <v>876</v>
      </c>
      <c r="X35" t="str">
        <f t="shared" si="8"/>
        <v>Andaman and Nicobar Islands (UT)</v>
      </c>
      <c r="Y35">
        <f t="shared" si="9"/>
        <v>876</v>
      </c>
      <c r="AB35" t="s">
        <v>42</v>
      </c>
      <c r="AC35">
        <v>610577</v>
      </c>
      <c r="AD35" t="str">
        <f t="shared" si="10"/>
        <v>Sikkim</v>
      </c>
      <c r="AE35">
        <f t="shared" si="11"/>
        <v>610577</v>
      </c>
      <c r="AG35" t="s">
        <v>43</v>
      </c>
      <c r="AH35">
        <v>244411</v>
      </c>
      <c r="AI35" t="str">
        <f t="shared" si="12"/>
        <v>Andaman and Nicobar Islands (UT)</v>
      </c>
      <c r="AJ35">
        <f t="shared" si="13"/>
        <v>244411</v>
      </c>
      <c r="AK35">
        <f t="shared" si="14"/>
        <v>2.9318570416521351E-2</v>
      </c>
      <c r="AM35" t="s">
        <v>45</v>
      </c>
      <c r="AN35">
        <v>182580</v>
      </c>
      <c r="AO35" t="str">
        <f t="shared" si="15"/>
        <v>Daman and Diu (UT)</v>
      </c>
      <c r="AP35">
        <f t="shared" si="16"/>
        <v>182580</v>
      </c>
      <c r="AQ35">
        <f t="shared" si="17"/>
        <v>4.8877910363266532E-2</v>
      </c>
    </row>
    <row r="36" spans="1:43" x14ac:dyDescent="0.3">
      <c r="A36" t="s">
        <v>43</v>
      </c>
      <c r="B36">
        <v>380581</v>
      </c>
      <c r="C36">
        <v>202871</v>
      </c>
      <c r="D36">
        <v>177710</v>
      </c>
      <c r="F36" t="str">
        <f t="shared" si="0"/>
        <v>Andaman and Nicobar Islands (UT)</v>
      </c>
      <c r="G36">
        <f t="shared" si="1"/>
        <v>380581</v>
      </c>
      <c r="H36">
        <f t="shared" si="2"/>
        <v>202871</v>
      </c>
      <c r="I36">
        <f t="shared" si="3"/>
        <v>177710</v>
      </c>
      <c r="K36" t="s">
        <v>33</v>
      </c>
      <c r="L36">
        <v>10486</v>
      </c>
      <c r="M36" t="str">
        <f t="shared" si="4"/>
        <v>Tripura</v>
      </c>
      <c r="N36">
        <f t="shared" si="5"/>
        <v>10486</v>
      </c>
      <c r="Q36" t="s">
        <v>37</v>
      </c>
      <c r="R36">
        <v>19735</v>
      </c>
      <c r="S36" t="str">
        <f t="shared" si="6"/>
        <v>Goa</v>
      </c>
      <c r="T36">
        <f t="shared" si="7"/>
        <v>19735</v>
      </c>
      <c r="V36" t="s">
        <v>29</v>
      </c>
      <c r="W36">
        <v>868</v>
      </c>
      <c r="X36" t="str">
        <f t="shared" si="8"/>
        <v>Delhi (UT)</v>
      </c>
      <c r="Y36">
        <f t="shared" si="9"/>
        <v>868</v>
      </c>
      <c r="AB36" t="s">
        <v>43</v>
      </c>
      <c r="AC36">
        <v>380581</v>
      </c>
      <c r="AD36" t="str">
        <f t="shared" si="10"/>
        <v>Andaman and Nicobar Islands (UT)</v>
      </c>
      <c r="AE36">
        <f t="shared" si="11"/>
        <v>380581</v>
      </c>
      <c r="AG36" t="s">
        <v>44</v>
      </c>
      <c r="AH36">
        <v>183024</v>
      </c>
      <c r="AI36" t="str">
        <f t="shared" si="12"/>
        <v>Dadra and Nagar Haveli (UT)</v>
      </c>
      <c r="AJ36">
        <f t="shared" si="13"/>
        <v>183024</v>
      </c>
      <c r="AK36">
        <f t="shared" si="14"/>
        <v>2.1954830314156907E-2</v>
      </c>
      <c r="AM36" t="s">
        <v>44</v>
      </c>
      <c r="AN36">
        <v>159829</v>
      </c>
      <c r="AO36" t="str">
        <f t="shared" si="15"/>
        <v>Dadra and Nagar Haveli (UT)</v>
      </c>
      <c r="AP36">
        <f t="shared" si="16"/>
        <v>159829</v>
      </c>
      <c r="AQ36">
        <f t="shared" si="17"/>
        <v>4.2787312605162262E-2</v>
      </c>
    </row>
    <row r="37" spans="1:43" x14ac:dyDescent="0.3">
      <c r="A37" t="s">
        <v>44</v>
      </c>
      <c r="B37">
        <v>343709</v>
      </c>
      <c r="C37">
        <v>193760</v>
      </c>
      <c r="D37">
        <v>149949</v>
      </c>
      <c r="F37" t="str">
        <f t="shared" si="0"/>
        <v>Dadra and Nagar Haveli (UT)</v>
      </c>
      <c r="G37">
        <f t="shared" si="1"/>
        <v>343709</v>
      </c>
      <c r="H37">
        <f t="shared" si="2"/>
        <v>193760</v>
      </c>
      <c r="I37">
        <f t="shared" si="3"/>
        <v>149949</v>
      </c>
      <c r="K37" t="s">
        <v>11</v>
      </c>
      <c r="L37">
        <v>240928</v>
      </c>
      <c r="M37" t="str">
        <f t="shared" si="4"/>
        <v>Uttar Pradesh</v>
      </c>
      <c r="N37">
        <f t="shared" si="5"/>
        <v>240928</v>
      </c>
      <c r="Q37" t="s">
        <v>34</v>
      </c>
      <c r="R37">
        <v>16775</v>
      </c>
      <c r="S37" t="str">
        <f t="shared" si="6"/>
        <v>Meghalaya</v>
      </c>
      <c r="T37">
        <f t="shared" si="7"/>
        <v>16775</v>
      </c>
      <c r="V37" t="s">
        <v>41</v>
      </c>
      <c r="W37">
        <v>818</v>
      </c>
      <c r="X37" t="str">
        <f t="shared" si="8"/>
        <v>Chandigarh (UT)</v>
      </c>
      <c r="Y37">
        <f t="shared" si="9"/>
        <v>818</v>
      </c>
      <c r="AB37" t="s">
        <v>44</v>
      </c>
      <c r="AC37">
        <v>343709</v>
      </c>
      <c r="AD37" t="str">
        <f t="shared" si="10"/>
        <v>Dadra and Nagar Haveli (UT)</v>
      </c>
      <c r="AE37">
        <f t="shared" si="11"/>
        <v>343709</v>
      </c>
      <c r="AG37" t="s">
        <v>45</v>
      </c>
      <c r="AH37">
        <v>60331</v>
      </c>
      <c r="AI37" t="str">
        <f t="shared" si="12"/>
        <v>Daman and Diu (UT)</v>
      </c>
      <c r="AJ37">
        <f t="shared" si="13"/>
        <v>60331</v>
      </c>
      <c r="AK37">
        <f t="shared" si="14"/>
        <v>7.2370665469195317E-3</v>
      </c>
      <c r="AM37" t="s">
        <v>42</v>
      </c>
      <c r="AN37">
        <v>151726</v>
      </c>
      <c r="AO37" t="str">
        <f t="shared" si="15"/>
        <v>Sikkim</v>
      </c>
      <c r="AP37">
        <f t="shared" si="16"/>
        <v>151726</v>
      </c>
      <c r="AQ37">
        <f t="shared" si="17"/>
        <v>4.0618084279641677E-2</v>
      </c>
    </row>
    <row r="38" spans="1:43" x14ac:dyDescent="0.3">
      <c r="A38" t="s">
        <v>45</v>
      </c>
      <c r="B38">
        <v>243247</v>
      </c>
      <c r="C38">
        <v>150301</v>
      </c>
      <c r="D38">
        <v>92946</v>
      </c>
      <c r="F38" t="str">
        <f t="shared" si="0"/>
        <v>Daman and Diu (UT)</v>
      </c>
      <c r="G38">
        <f t="shared" si="1"/>
        <v>243247</v>
      </c>
      <c r="H38">
        <f t="shared" si="2"/>
        <v>150301</v>
      </c>
      <c r="I38">
        <f t="shared" si="3"/>
        <v>92946</v>
      </c>
      <c r="K38" t="s">
        <v>31</v>
      </c>
      <c r="L38">
        <v>53483</v>
      </c>
      <c r="M38" t="str">
        <f t="shared" si="4"/>
        <v>Uttarakhand</v>
      </c>
      <c r="N38">
        <f t="shared" si="5"/>
        <v>53483</v>
      </c>
      <c r="Q38" t="s">
        <v>40</v>
      </c>
      <c r="R38">
        <v>13472</v>
      </c>
      <c r="S38" t="str">
        <f t="shared" si="6"/>
        <v>Mizoram</v>
      </c>
      <c r="T38">
        <f t="shared" si="7"/>
        <v>13472</v>
      </c>
      <c r="V38" t="s">
        <v>44</v>
      </c>
      <c r="W38">
        <v>774</v>
      </c>
      <c r="X38" t="str">
        <f t="shared" si="8"/>
        <v>Dadra and Nagar Haveli (UT)</v>
      </c>
      <c r="Y38">
        <f t="shared" si="9"/>
        <v>774</v>
      </c>
      <c r="AB38" t="s">
        <v>45</v>
      </c>
      <c r="AC38">
        <v>243247</v>
      </c>
      <c r="AD38" t="str">
        <f t="shared" si="10"/>
        <v>Daman and Diu (UT)</v>
      </c>
      <c r="AE38">
        <f t="shared" si="11"/>
        <v>243247</v>
      </c>
      <c r="AG38" t="s">
        <v>41</v>
      </c>
      <c r="AH38">
        <v>29004</v>
      </c>
      <c r="AI38" t="str">
        <f t="shared" si="12"/>
        <v>Chandigarh (UT)</v>
      </c>
      <c r="AJ38">
        <f t="shared" si="13"/>
        <v>29004</v>
      </c>
      <c r="AK38">
        <f t="shared" si="14"/>
        <v>3.4792043580722035E-3</v>
      </c>
      <c r="AM38" t="s">
        <v>43</v>
      </c>
      <c r="AN38">
        <v>135533</v>
      </c>
      <c r="AO38" t="str">
        <f t="shared" si="15"/>
        <v>Andaman and Nicobar Islands (UT)</v>
      </c>
      <c r="AP38">
        <f t="shared" si="16"/>
        <v>135533</v>
      </c>
      <c r="AQ38">
        <f t="shared" si="17"/>
        <v>3.6283107817201239E-2</v>
      </c>
    </row>
    <row r="39" spans="1:43" x14ac:dyDescent="0.3">
      <c r="A39" t="s">
        <v>46</v>
      </c>
      <c r="B39">
        <v>64473</v>
      </c>
      <c r="C39">
        <v>33123</v>
      </c>
      <c r="D39">
        <v>31350</v>
      </c>
      <c r="F39" t="str">
        <f t="shared" si="0"/>
        <v>Lakshadweep (UT)</v>
      </c>
      <c r="G39">
        <f t="shared" si="1"/>
        <v>64473</v>
      </c>
      <c r="H39">
        <f t="shared" si="2"/>
        <v>33123</v>
      </c>
      <c r="I39">
        <f t="shared" si="3"/>
        <v>31350</v>
      </c>
      <c r="K39" t="s">
        <v>14</v>
      </c>
      <c r="L39">
        <v>88752</v>
      </c>
      <c r="M39" t="str">
        <f t="shared" si="4"/>
        <v>West Bengal</v>
      </c>
      <c r="N39">
        <f t="shared" si="5"/>
        <v>88752</v>
      </c>
      <c r="Q39" t="s">
        <v>46</v>
      </c>
      <c r="R39">
        <v>1773</v>
      </c>
      <c r="S39" t="str">
        <f t="shared" si="6"/>
        <v>Lakshadweep (UT)</v>
      </c>
      <c r="T39">
        <f t="shared" si="7"/>
        <v>1773</v>
      </c>
      <c r="V39" t="s">
        <v>45</v>
      </c>
      <c r="W39">
        <v>618</v>
      </c>
      <c r="X39" t="str">
        <f t="shared" si="8"/>
        <v>Daman and Diu (UT)</v>
      </c>
      <c r="Y39">
        <f t="shared" si="9"/>
        <v>618</v>
      </c>
      <c r="AB39" t="s">
        <v>46</v>
      </c>
      <c r="AC39">
        <v>64473</v>
      </c>
      <c r="AD39" t="str">
        <f t="shared" si="10"/>
        <v>Lakshadweep (UT)</v>
      </c>
      <c r="AE39">
        <f t="shared" si="11"/>
        <v>64473</v>
      </c>
      <c r="AG39" t="s">
        <v>46</v>
      </c>
      <c r="AH39">
        <v>14121</v>
      </c>
      <c r="AI39" t="str">
        <f t="shared" si="12"/>
        <v>Lakshadweep (UT)</v>
      </c>
      <c r="AJ39">
        <f t="shared" si="13"/>
        <v>14121</v>
      </c>
      <c r="AK39">
        <f t="shared" si="14"/>
        <v>1.6938989360204655E-3</v>
      </c>
      <c r="AM39" t="s">
        <v>46</v>
      </c>
      <c r="AN39">
        <v>50308</v>
      </c>
      <c r="AO39" t="str">
        <f t="shared" si="15"/>
        <v>Lakshadweep (UT)</v>
      </c>
      <c r="AP39">
        <f t="shared" si="16"/>
        <v>50308</v>
      </c>
      <c r="AQ39">
        <f t="shared" si="17"/>
        <v>1.346779447121926E-2</v>
      </c>
    </row>
    <row r="40" spans="1:43" x14ac:dyDescent="0.3">
      <c r="AI40" t="s">
        <v>66</v>
      </c>
      <c r="AJ40">
        <f>SUM(AJ4:AJ38)</f>
        <v>833638873</v>
      </c>
      <c r="AO40" t="s">
        <v>66</v>
      </c>
      <c r="AP40">
        <f>SUM(AP4:AP39)</f>
        <v>373542974</v>
      </c>
    </row>
    <row r="44" spans="1:43" x14ac:dyDescent="0.3">
      <c r="A44" t="s">
        <v>55</v>
      </c>
      <c r="B44" t="s">
        <v>60</v>
      </c>
      <c r="C44" t="s">
        <v>3</v>
      </c>
      <c r="D44" t="s">
        <v>4</v>
      </c>
      <c r="F44" t="s">
        <v>55</v>
      </c>
      <c r="G44" t="s">
        <v>59</v>
      </c>
      <c r="I44" t="s">
        <v>55</v>
      </c>
      <c r="J44" t="str">
        <f>T3</f>
        <v>Difference between Male And Female</v>
      </c>
      <c r="L44" t="s">
        <v>55</v>
      </c>
      <c r="M44" t="s">
        <v>61</v>
      </c>
      <c r="Q44" t="s">
        <v>55</v>
      </c>
      <c r="R44" t="s">
        <v>63</v>
      </c>
      <c r="S44" t="s">
        <v>64</v>
      </c>
      <c r="U44" t="s">
        <v>55</v>
      </c>
      <c r="V44" t="s">
        <v>65</v>
      </c>
      <c r="W44" t="s">
        <v>64</v>
      </c>
    </row>
    <row r="45" spans="1:43" x14ac:dyDescent="0.3">
      <c r="A45" t="str">
        <f>A4</f>
        <v>Uttar Pradesh</v>
      </c>
      <c r="B45">
        <f t="shared" ref="B45:D45" si="18">B4</f>
        <v>199812341</v>
      </c>
      <c r="C45">
        <f t="shared" si="18"/>
        <v>104480510</v>
      </c>
      <c r="D45">
        <f t="shared" si="18"/>
        <v>95331831</v>
      </c>
      <c r="F45" t="str">
        <f>K4</f>
        <v>Andaman and Nicobar Islands (UT)</v>
      </c>
      <c r="G45">
        <f>L4</f>
        <v>8249</v>
      </c>
      <c r="I45" t="str">
        <f>S4</f>
        <v>Uttar Pradesh</v>
      </c>
      <c r="J45">
        <f>T4</f>
        <v>9148679</v>
      </c>
      <c r="L45" t="str">
        <f>X4</f>
        <v>Kerala</v>
      </c>
      <c r="M45">
        <f>Y4</f>
        <v>1084</v>
      </c>
      <c r="Q45" t="str">
        <f>AI4</f>
        <v>Uttar Pradesh</v>
      </c>
      <c r="R45">
        <f>AJ4</f>
        <v>155111022</v>
      </c>
      <c r="S45">
        <f>AK4</f>
        <v>18.606500611206503</v>
      </c>
      <c r="U45" t="str">
        <f>AO4</f>
        <v>Maharashtra</v>
      </c>
      <c r="V45">
        <f t="shared" ref="V45:W45" si="19">AP4</f>
        <v>50827531</v>
      </c>
      <c r="W45">
        <f t="shared" si="19"/>
        <v>13.606876460752277</v>
      </c>
    </row>
    <row r="46" spans="1:43" x14ac:dyDescent="0.3">
      <c r="A46" t="str">
        <f t="shared" ref="A46:D46" si="20">A5</f>
        <v>Maharashtra</v>
      </c>
      <c r="B46">
        <f t="shared" si="20"/>
        <v>112374333</v>
      </c>
      <c r="C46">
        <f t="shared" si="20"/>
        <v>58243056</v>
      </c>
      <c r="D46">
        <f t="shared" si="20"/>
        <v>54131277</v>
      </c>
      <c r="F46" t="str">
        <f t="shared" ref="F46:G46" si="21">K5</f>
        <v>Andhra Pradesh</v>
      </c>
      <c r="G46">
        <f t="shared" si="21"/>
        <v>160205</v>
      </c>
      <c r="I46" t="str">
        <f t="shared" ref="I46:J46" si="22">S5</f>
        <v>Bihar</v>
      </c>
      <c r="J46">
        <f t="shared" si="22"/>
        <v>4456862</v>
      </c>
      <c r="L46" t="str">
        <f t="shared" ref="L46:M46" si="23">X5</f>
        <v>Puducherry (UT)</v>
      </c>
      <c r="M46">
        <f t="shared" si="23"/>
        <v>1037</v>
      </c>
      <c r="Q46" t="str">
        <f t="shared" ref="Q46:S46" si="24">AI5</f>
        <v>Bihar</v>
      </c>
      <c r="R46">
        <f t="shared" si="24"/>
        <v>92075028</v>
      </c>
      <c r="S46">
        <f t="shared" si="24"/>
        <v>11.044953754213907</v>
      </c>
      <c r="U46" t="str">
        <f t="shared" ref="U46:U49" si="25">AO5</f>
        <v>Uttar Pradesh</v>
      </c>
      <c r="V46">
        <f t="shared" ref="V46:V49" si="26">AP5</f>
        <v>44470455</v>
      </c>
      <c r="W46">
        <f t="shared" ref="W46:W49" si="27">AQ5</f>
        <v>11.90504388927417</v>
      </c>
    </row>
    <row r="47" spans="1:43" x14ac:dyDescent="0.3">
      <c r="A47" t="str">
        <f t="shared" ref="A47:D47" si="28">A6</f>
        <v>Bihar</v>
      </c>
      <c r="B47">
        <f t="shared" si="28"/>
        <v>104099452</v>
      </c>
      <c r="C47">
        <f t="shared" si="28"/>
        <v>54278157</v>
      </c>
      <c r="D47">
        <f t="shared" si="28"/>
        <v>49821295</v>
      </c>
      <c r="F47" t="str">
        <f t="shared" ref="F47:G47" si="29">K6</f>
        <v>Arunachal Pradesh</v>
      </c>
      <c r="G47">
        <f t="shared" si="29"/>
        <v>83743</v>
      </c>
      <c r="I47" t="str">
        <f t="shared" ref="I47:J47" si="30">S6</f>
        <v>Maharashtra</v>
      </c>
      <c r="J47">
        <f t="shared" si="30"/>
        <v>4111779</v>
      </c>
      <c r="L47" t="str">
        <f t="shared" ref="L47:M47" si="31">X6</f>
        <v>Tamil Nadu</v>
      </c>
      <c r="M47">
        <f t="shared" si="31"/>
        <v>996</v>
      </c>
      <c r="Q47" t="str">
        <f t="shared" ref="Q47:S47" si="32">AI6</f>
        <v>West Bengal</v>
      </c>
      <c r="R47">
        <f t="shared" si="32"/>
        <v>62213676</v>
      </c>
      <c r="S47">
        <f t="shared" si="32"/>
        <v>7.4629048638426436</v>
      </c>
      <c r="U47" t="str">
        <f t="shared" si="25"/>
        <v>Tamil Nadu</v>
      </c>
      <c r="V47">
        <f t="shared" si="26"/>
        <v>34949729</v>
      </c>
      <c r="W47">
        <f t="shared" si="27"/>
        <v>9.3562806511252976</v>
      </c>
    </row>
    <row r="48" spans="1:43" x14ac:dyDescent="0.3">
      <c r="A48" t="str">
        <f t="shared" ref="A48:D48" si="33">A7</f>
        <v>West Bengal</v>
      </c>
      <c r="B48">
        <f t="shared" si="33"/>
        <v>91276115</v>
      </c>
      <c r="C48">
        <f t="shared" si="33"/>
        <v>46809027</v>
      </c>
      <c r="D48">
        <f t="shared" si="33"/>
        <v>44467088</v>
      </c>
      <c r="F48" t="str">
        <f t="shared" ref="F48:G48" si="34">K7</f>
        <v>Assam</v>
      </c>
      <c r="G48">
        <f t="shared" si="34"/>
        <v>78438</v>
      </c>
      <c r="I48" t="str">
        <f t="shared" ref="I48:J48" si="35">S7</f>
        <v>Madhya Pradesh</v>
      </c>
      <c r="J48">
        <f t="shared" si="35"/>
        <v>2597803</v>
      </c>
      <c r="L48" t="str">
        <f t="shared" ref="L48:M48" si="36">X7</f>
        <v>Andhra Pradesh</v>
      </c>
      <c r="M48">
        <f t="shared" si="36"/>
        <v>996</v>
      </c>
      <c r="Q48" t="str">
        <f t="shared" ref="Q48:S48" si="37">AI7</f>
        <v>Maharashtra</v>
      </c>
      <c r="R48">
        <f t="shared" si="37"/>
        <v>61545441</v>
      </c>
      <c r="S48">
        <f t="shared" si="37"/>
        <v>7.3827460538779368</v>
      </c>
      <c r="U48" t="str">
        <f t="shared" si="25"/>
        <v>West Bengal</v>
      </c>
      <c r="V48">
        <f t="shared" si="26"/>
        <v>29134060</v>
      </c>
      <c r="W48">
        <f t="shared" si="27"/>
        <v>7.7993864234747994</v>
      </c>
    </row>
    <row r="49" spans="1:23" x14ac:dyDescent="0.3">
      <c r="A49" t="str">
        <f t="shared" ref="A49:D49" si="38">A8</f>
        <v>Madhya Pradesh</v>
      </c>
      <c r="B49">
        <f t="shared" si="38"/>
        <v>72626809</v>
      </c>
      <c r="C49">
        <f t="shared" si="38"/>
        <v>37612306</v>
      </c>
      <c r="D49">
        <f t="shared" si="38"/>
        <v>35014503</v>
      </c>
      <c r="F49" t="str">
        <f t="shared" ref="F49:G49" si="39">K8</f>
        <v>Bihar</v>
      </c>
      <c r="G49">
        <f t="shared" si="39"/>
        <v>94163</v>
      </c>
      <c r="I49" t="str">
        <f t="shared" ref="I49:J49" si="40">S8</f>
        <v>Rajasthan</v>
      </c>
      <c r="J49">
        <f t="shared" si="40"/>
        <v>2553557</v>
      </c>
      <c r="L49" t="str">
        <f t="shared" ref="L49:M49" si="41">X8</f>
        <v>Chhattisgarh</v>
      </c>
      <c r="M49">
        <f t="shared" si="41"/>
        <v>991</v>
      </c>
      <c r="Q49" t="str">
        <f t="shared" ref="Q49" si="42">AI8</f>
        <v>Madhya Pradesh</v>
      </c>
      <c r="R49">
        <f>AJ8</f>
        <v>52537899</v>
      </c>
      <c r="S49">
        <f>AK8</f>
        <v>6.3022371798633721</v>
      </c>
      <c r="U49" t="str">
        <f t="shared" si="25"/>
        <v>Gujarat</v>
      </c>
      <c r="V49">
        <f t="shared" si="26"/>
        <v>25712811</v>
      </c>
      <c r="W49">
        <f t="shared" si="27"/>
        <v>6.883494748853181</v>
      </c>
    </row>
    <row r="50" spans="1:23" x14ac:dyDescent="0.3">
      <c r="R50">
        <f>SUM(R45:R49)/AJ40</f>
        <v>0.5079934246300436</v>
      </c>
      <c r="S50">
        <f>1-R50</f>
        <v>0.4920065753699564</v>
      </c>
      <c r="V50">
        <f>SUM(V45:V49)/SUM(AP40)</f>
        <v>0.49551082173479721</v>
      </c>
      <c r="W50">
        <f>1-V50</f>
        <v>0.50448917826520279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showGridLines="0" showRowColHeaders="0" tabSelected="1" zoomScale="76" zoomScaleNormal="7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 Set</vt:lpstr>
      <vt:lpstr>Analysis</vt:lpstr>
      <vt:lpstr>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dcterms:created xsi:type="dcterms:W3CDTF">2024-08-02T22:58:10Z</dcterms:created>
  <dcterms:modified xsi:type="dcterms:W3CDTF">2024-08-06T13:12:16Z</dcterms:modified>
</cp:coreProperties>
</file>